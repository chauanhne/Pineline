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chung" sheetId="1" r:id="rId5"/>
  </sheets>
  <definedNames>
    <definedName hidden="1" localSheetId="0" name="_xlnm._FilterDatabase">'Thông tin chung'!$H$1:$K$181</definedName>
  </definedNames>
  <calcPr/>
</workbook>
</file>

<file path=xl/sharedStrings.xml><?xml version="1.0" encoding="utf-8"?>
<sst xmlns="http://schemas.openxmlformats.org/spreadsheetml/2006/main" count="727" uniqueCount="458">
  <si>
    <t>Mã chức năng
(Function ID)</t>
  </si>
  <si>
    <t>TC_11</t>
  </si>
  <si>
    <t>Tên chức năng 
(Function Name)</t>
  </si>
  <si>
    <t>Thông tin chung</t>
  </si>
  <si>
    <t>QC/AI</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</si>
  <si>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</si>
  <si>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</si>
  <si>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</si>
  <si>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</si>
  <si>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</si>
  <si>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</si>
  <si>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</si>
  <si>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</si>
  <si>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</si>
  <si>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</si>
  <si>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Các dịch vụ cần test</t>
  </si>
  <si>
    <t>Màn hình nhập thông tin</t>
  </si>
  <si>
    <t xml:space="preserve">Màn hình nhập thông tin - Header </t>
  </si>
  <si>
    <t>Medium</t>
  </si>
  <si>
    <t>Click vào Logo FPT Telecom</t>
  </si>
  <si>
    <t xml:space="preserve">- Đang ở màn hình nhập thông tin đăng ký/thanh toán </t>
  </si>
  <si>
    <t>1. Click vào logo FPT Telecom</t>
  </si>
  <si>
    <r>
      <rPr>
        <rFont val="Calibri"/>
        <sz val="12.0"/>
      </rPr>
      <t xml:space="preserve">- Truy cập link trực tiếp: Điều hướng vào màn hình Home fpt.vn 
- Truy cập từ tongdaiwifi: Điều hướng về home </t>
    </r>
    <r>
      <rPr>
        <rFont val="Calibri"/>
        <color rgb="FF1155CC"/>
        <sz val="12.0"/>
        <u/>
      </rPr>
      <t>https://staging.tongdaiwifi.vn/</t>
    </r>
    <r>
      <rPr>
        <rFont val="Calibri"/>
        <sz val="12.0"/>
      </rPr>
      <t xml:space="preserve">
</t>
    </r>
  </si>
  <si>
    <t xml:space="preserve">Click vào icon back_ từ Home truy cập trực tiếp link </t>
  </si>
  <si>
    <t>- Có link đăng ký dịch vụ</t>
  </si>
  <si>
    <t>1. Mở trình duyệt 
2. Truy cập trực tiếp link đăng ký dịch vụ 
3. Click vào icon back</t>
  </si>
  <si>
    <r>
      <rPr>
        <rFont val="Calibri"/>
        <sz val="12.0"/>
      </rPr>
      <t xml:space="preserve">Điều hướng vào màn hình Home fpt.vn </t>
    </r>
    <r>
      <rPr>
        <rFont val="Calibri"/>
        <color rgb="FF000000"/>
        <sz val="12.0"/>
      </rPr>
      <t xml:space="preserve">
</t>
    </r>
  </si>
  <si>
    <r>
      <rPr>
        <rFont val="Calibri"/>
        <b/>
        <sz val="12.0"/>
      </rPr>
      <t xml:space="preserve">Click vào icon back_ từ Home </t>
    </r>
    <r>
      <rPr>
        <rFont val="Calibri"/>
        <b/>
        <color rgb="FF1155CC"/>
        <sz val="12.0"/>
        <u/>
      </rPr>
      <t>tongdaiwifi.vn</t>
    </r>
  </si>
  <si>
    <t>1. Mở trình duyệt 
2. Truy cập trang tongdaiwifi.vn
3. Click btn Đăng ký ngay 
4. Click vào icon back</t>
  </si>
  <si>
    <r>
      <rPr>
        <rFont val="Calibri"/>
        <sz val="12.0"/>
      </rPr>
      <t xml:space="preserve"> Điều hướng về home </t>
    </r>
    <r>
      <rPr>
        <rFont val="Calibri"/>
        <color rgb="FF1155CC"/>
        <sz val="12.0"/>
        <u/>
      </rPr>
      <t>https://staging.tongdaiwifi.vn/</t>
    </r>
    <r>
      <rPr>
        <rFont val="Calibri"/>
        <color rgb="FF000000"/>
        <sz val="12.0"/>
      </rPr>
      <t xml:space="preserve">
</t>
    </r>
  </si>
  <si>
    <t xml:space="preserve">Màn hình nhập thông tin - Tiến trình các bước </t>
  </si>
  <si>
    <t xml:space="preserve">Check màu sắc mặc định tại các bước </t>
  </si>
  <si>
    <t>1. Quan sát màu sắc tại các bước tiến trình.</t>
  </si>
  <si>
    <t>Hiển thị đúng màu sắc mặc định tại các bước. Gồm:
+ Bước 1: màu xanh dương
+ Bước 2,3: màu xám</t>
  </si>
  <si>
    <t>Click vào các bước 1,2,3 khi đang ở bước 1</t>
  </si>
  <si>
    <t>- Đang ở màn hình nhập thông tin đăng ký/thanh toán 
- Đang ở bước 1</t>
  </si>
  <si>
    <t>1. Click vào icon của các bước 1,2,3</t>
  </si>
  <si>
    <t>Không có action nào, vẫn ở màn hình hiện tại</t>
  </si>
  <si>
    <t>Click vào bước 1 khi đang ở bước 2</t>
  </si>
  <si>
    <t>- Đang ở màn hình nhập thông tin đăng ký/thanh toán 
- Hiển thị tiến trình 3 bước 
- Đang ở bước 2</t>
  </si>
  <si>
    <t>1. Click vào icon của bước 1</t>
  </si>
  <si>
    <t>Cho phép quay về bước 1 khi click vào icon bước 1</t>
  </si>
  <si>
    <t>Màn hình nhập thông tin - Block Sản phẩm dịch vụ đã chọn</t>
  </si>
  <si>
    <t>Check load Số lượng gói dịch vụ</t>
  </si>
  <si>
    <t>Chọn 1 gói dịch vụ SA ở màn hình Chi tiết dịch vụ</t>
  </si>
  <si>
    <t>1. Truy cập màn hình Thanh toán dịch vụ
2. Tại block Sản phẩm dịch vụ đã chọn
3. Check load Số lượng gói dịch vụ</t>
  </si>
  <si>
    <t>Hiển thị đúng số lượng gói dịch vụ đã chọn</t>
  </si>
  <si>
    <t>Check load data Gói dịch vụ</t>
  </si>
  <si>
    <t>1. Truy cập màn hình Thanh toán dịch vụ 
2. Tại block Sản phẩm dịch vụ đã chọn
3. Check hiển thị các trường trong block Sản phẩm dịch vụ đã chọn</t>
  </si>
  <si>
    <t>Hệ thống hiển thị lại gói khách hàng đã chọn</t>
  </si>
  <si>
    <t>Check load Chu kỳ gói dịch vụ</t>
  </si>
  <si>
    <t>1. Truy cập màn hình Thanh toán dịch vụ 
2. Tại block Sản phẩm dịch vụ đã chọn
3. Check load Chu kỳ gói dịch vụ</t>
  </si>
  <si>
    <t>Hệ thống hiển thị đúng chu kỳ đã chọn, ví dụ: 3 tháng, 6 tháng, 12 tháng.</t>
  </si>
  <si>
    <t>Check load Giá gói dịch vụ</t>
  </si>
  <si>
    <t>1. Truy cập màn hình Thanh toán dịch vụ 
2. Tại block Sản phẩm dịch vụ đã chọn
3. Check load Giá gói dịch vụ</t>
  </si>
  <si>
    <t>Hệ thống hiển thị giá của gói đã chọn. Nếu có ưu đãi, hệ thống hiển thị giá sau ưu đãi.</t>
  </si>
  <si>
    <t>Check load icon Gói dịch vụ</t>
  </si>
  <si>
    <t>1. Truy cập màn hình Thanh toán dịch vụ
2. Tại block Sản phẩm dịch vụ đã chọn
3. Check icon Gói dịch vụ</t>
  </si>
  <si>
    <t>Hiển thị đúng hình ảnh theo config Product Hub</t>
  </si>
  <si>
    <t>Màn hình nhập thông tin - Block Thông tin Cá nhân</t>
  </si>
  <si>
    <t>Họ Tên (NET, ComBo Net)</t>
  </si>
  <si>
    <t>Check khung viền màu xanh khi click chuột vào các trường Họ tên</t>
  </si>
  <si>
    <t>- Đang ở màn hình nhập thông tin đăng ký/thanh toán 
- Đang đăng ký dịch vụ NET/Combo net</t>
  </si>
  <si>
    <t xml:space="preserve">1. Click vào trường Họ tên
2. Check hiển thị viền xanh </t>
  </si>
  <si>
    <t>Hiển thị viền màu xanh của trường</t>
  </si>
  <si>
    <t>Check btn x trong trường Họ tên</t>
  </si>
  <si>
    <t xml:space="preserve">1. Nhập 1 ký tự bất kỳ tại trường Họ tên 
2. Check hiển thị icon x </t>
  </si>
  <si>
    <t>Hiển thị icon X khi nhập ký tự bất kỳ</t>
  </si>
  <si>
    <t>Click btn x trong trường Họ tên</t>
  </si>
  <si>
    <t xml:space="preserve">1. Nhập 1 ký tự bất kỳ tại trường Họ tên 
2. Click icon x </t>
  </si>
  <si>
    <t>Xóa toàn bộ kí tự trong trường Họ tên và ẩn icon X</t>
  </si>
  <si>
    <t>Check trường Họ tên để trống</t>
  </si>
  <si>
    <t>1. Click vào trường Họ tên và không nhập data
2. Click ra ngoài trường Họ tên</t>
  </si>
  <si>
    <t xml:space="preserve">Border đỏ trường họ tên và thông báo " Vui lòng nhập họ và tên."
</t>
  </si>
  <si>
    <t>Check trường Họ tên nhập khoảng trắng</t>
  </si>
  <si>
    <t>1. Click vào trường Họ tên 
2. Nhập khoảng trắng
3. Click ra ngoài trường Họ tên</t>
  </si>
  <si>
    <t>Check nhập Họ tên có khoảng trắng đầu cuối</t>
  </si>
  <si>
    <t>1. Nhập Họ tên có khoảng trắng đầu cuối
2. Nhập các trường bắt buộc khác
3. Btn Tiếp tục</t>
  </si>
  <si>
    <t>Cho phép qua màn hình tiếp theo không báo lỗi (khi submit sẽ trim khoảng trắng đi)</t>
  </si>
  <si>
    <t>Check nhập hoặc copy-paste Họ tên có ký tự đặc biệt', số</t>
  </si>
  <si>
    <t>1. Nhập/copy-paste họ tên có ký tự đặc biệt
2. Nhập các trường bắt buộc khác
3. Btn Tiếp tục</t>
  </si>
  <si>
    <t>Hiển thị thông báo "Họ tên không hợp lệ"
* chỉ được nhận chữ + khoảng trắng</t>
  </si>
  <si>
    <t>Check nhập/copy-paste Họ tên &gt; 100 ký tự</t>
  </si>
  <si>
    <t>1. Nhập/copy-paste Họ tên &gt; 100 ký tự</t>
  </si>
  <si>
    <t>Chỉ cho phép nhập và hiển thị 100 ký tự</t>
  </si>
  <si>
    <t>Số điện thoại (Tất cả dịch vụ)</t>
  </si>
  <si>
    <t>Check btn x trong trường Số điện thoại</t>
  </si>
  <si>
    <t xml:space="preserve">- Đang ở màn hình nhập thông tin đăng ký/thanh toán 
- Đang đăng ký dịch vụ bất kỳ </t>
  </si>
  <si>
    <t xml:space="preserve">1. Nhập 1 số bất kỳ tại trường Số điện thoại
2. Check hiển thị icon x </t>
  </si>
  <si>
    <t>Click btn x trong trường số điện thoại</t>
  </si>
  <si>
    <t xml:space="preserve">1. Nhập số bất kỳ tại trường Số điện thoại
2. Click icon x </t>
  </si>
  <si>
    <t>Xóa toàn bộ kí tự trong trường Số điện thoại và ẩn icon X</t>
  </si>
  <si>
    <t>Check trường Số điện thoại để trống</t>
  </si>
  <si>
    <t>1. Click vào trường Số điện thoại và không nhập data
2. Click ra ngoài trường Số điện thoại</t>
  </si>
  <si>
    <t xml:space="preserve">Border đỏ trường số điện thoại và thông báo "Vui lòng nhập số điện thoại."
</t>
  </si>
  <si>
    <t>Check nhập hoặc copy-paste Số điện thoại có chứa ký tự bất kỳ không phải là số</t>
  </si>
  <si>
    <t>1. Nhập/copy-paste Số điện thoại có ký tự không phải số</t>
  </si>
  <si>
    <t>Hiển thị thông báo "Số điện thoại không hợp lệ"</t>
  </si>
  <si>
    <t>Check nhập Số điện thoại = 10 số nhưng số đầu tiên khác 0</t>
  </si>
  <si>
    <t>1. Nhập Số điện thoại có 10 số nhưng có số đầu tiên khác 0</t>
  </si>
  <si>
    <t>Check nhập hoặc copy-paste Số điện thoại dài hơn &gt;10 chữ số</t>
  </si>
  <si>
    <t>1. Nhập /copy-paste Số điện thoại dài hơn &gt;10 chữ số</t>
  </si>
  <si>
    <t>Chỉ hiển thị 10 chữ số, tự động cắt bỏ từ số 11</t>
  </si>
  <si>
    <t>Email (Hyperfast)</t>
  </si>
  <si>
    <t>Low</t>
  </si>
  <si>
    <t>Check placeholder tại trường Email</t>
  </si>
  <si>
    <t>- Đang ở màn hình nhập thông tin đăng ký/thanh toán 
- Đăng ký dịch vụ Hyperfast/UltraFast</t>
  </si>
  <si>
    <t>1. Quan sát tại trường Email khi chưa nhập data</t>
  </si>
  <si>
    <r>
      <rPr>
        <rFont val="Calibri"/>
        <color theme="1"/>
        <sz val="12.0"/>
      </rPr>
      <t xml:space="preserve">Placeholder hiển thị "Nhập email" </t>
    </r>
    <r>
      <rPr>
        <rFont val="Calibri"/>
        <strike/>
        <color theme="1"/>
        <sz val="12.0"/>
      </rPr>
      <t>đúng gợi ý nhập email (VD: 'Acb@gmail.com')</t>
    </r>
  </si>
  <si>
    <t>Check btn x trong trường Email</t>
  </si>
  <si>
    <t>1. Nhập 1 ký tự bất kỳ tại trường Email
2. Check hiển thị icon x</t>
  </si>
  <si>
    <t>Click btn x trong trường Email</t>
  </si>
  <si>
    <t>1. Nhập email bất kỳ tại trường Email
2. Click icon x</t>
  </si>
  <si>
    <t>Xóa toàn bộ ký tự trong trường Email và ẩn icon X</t>
  </si>
  <si>
    <t>Check trường Email để trống</t>
  </si>
  <si>
    <t>1. Click vào trường Email nhập khoảng trắng hoặc không nhập data
2. Click ra ngoài trường Email</t>
  </si>
  <si>
    <t>Cho phép để trống trường Email</t>
  </si>
  <si>
    <t>Check nhập Email sai định dạng</t>
  </si>
  <si>
    <t>1. Nhập Email: 'email_sai_format'
2. Click ra ngoài trường Email</t>
  </si>
  <si>
    <t>Hiển thị lỗi: 'Email không hợp lệ'</t>
  </si>
  <si>
    <t>Check nhập Email không có domain (VD: test@)</t>
  </si>
  <si>
    <t>1. Nhập Email: 'test@'
2. Click ra ngoài trường Email</t>
  </si>
  <si>
    <t>Check Email đã nhập hiển thị realtime sang block Thông tin lắp đặt bên phải</t>
  </si>
  <si>
    <t>1. Nhập Email: 'Acb@gmail.com'
2. Check block Thông tin lắp đặt bên phải</t>
  </si>
  <si>
    <t>Email 'Acb@gmail.com' hiển thị đúng trong block Thông tin lắp đặt ngay sau khi nhập</t>
  </si>
  <si>
    <t>Màn hình nhập thông tin - Block Địa chỉ lắp đặt</t>
  </si>
  <si>
    <t>Tỉnh/Thành phố</t>
  </si>
  <si>
    <t>High</t>
  </si>
  <si>
    <t>Check dữ liệu mặc định các trường tại Tỉnh thành</t>
  </si>
  <si>
    <t>- Truy cập màn hình đăng ký dịch vụ/thanh toán 
- Block "Địa chỉ lắp đặt" đang hiển thị"</t>
  </si>
  <si>
    <t xml:space="preserve">1. Check dữ liệu mặc định các trường tại Địa chỉ lắp đặt </t>
  </si>
  <si>
    <t xml:space="preserve">Mặc định load Tỉnh/Thành phố là rỗng </t>
  </si>
  <si>
    <t xml:space="preserve">Check placeholder tại tỉnh/thành phố </t>
  </si>
  <si>
    <t>- Truy cập màn hình đăng ký dịch vụ/thanh toán 
- Block "Địa chỉ lắp đặt" đang hiển thị"
- Chưa chọn Tỉnh/thành phố</t>
  </si>
  <si>
    <t>1. Quan sát tại Tỉnh/Thành phố khi chưa chọn data</t>
  </si>
  <si>
    <t>Hiển thị Placeholder là ''Chọn tỉnh/thành phố"</t>
  </si>
  <si>
    <t>Check không chọn trường Tỉnh/ Thành phố</t>
  </si>
  <si>
    <t>1. Click trường Tỉnh/Thành phố 
2. Click trường tỉnh/thành phố và không chọn data 
3. Click ra ngoài trường Tỉnh/thành phố</t>
  </si>
  <si>
    <t>Hiển thị thông báo " Vui lòng chọn tỉnh/thành phố."</t>
  </si>
  <si>
    <t>Check Load data trường Tỉnh/ Thành phố</t>
  </si>
  <si>
    <t>1. Click trường Tỉnh/Thành phố 
 2. Check Load data trường Tỉnh/ Thành phố</t>
  </si>
  <si>
    <t>Hiển thị đúng, đủ thông tin tỉnh thành trên toàn quốc: theo DCHC mới
Ưu tiên HCM, HN, Đà Nẵng load đầu danh sách</t>
  </si>
  <si>
    <t>Check tìm kiếm theo tên Tỉnh/ Thành phố</t>
  </si>
  <si>
    <t>1. Click trường Tỉnh/Thành phố 
2. Nhập Tỉnh/ Thành phố cần tìm</t>
  </si>
  <si>
    <t>Hiển thị danh sách tỉnh/thành phố đúng với dữ liệu đã nhập</t>
  </si>
  <si>
    <t>Check chọn Tỉnh/ Thành phố</t>
  </si>
  <si>
    <t>1. Click trường Tỉnh/Thành phố 
2. Click chọn tỉnh/thành phố bất kỳ</t>
  </si>
  <si>
    <t>Chỉ được chọn 1 và hiển thị đúng giá trị đã chọn</t>
  </si>
  <si>
    <t>Check load thêm các trường khi chọn Tỉnh/ Thành phố</t>
  </si>
  <si>
    <t>1. Click trường Tỉnh/Thành phố 
2. Click chọn tỉnh/thành phố bất kỳ
3. Check hiển thị các trường thông tin tại Địa chỉ lắp đặt</t>
  </si>
  <si>
    <t>Block Địa chỉ lắp đặt hiển thị gồm(note: DCHC 2 cấp): 
- Tỉnh/Thành phố
- Phường/Xã
- Tên đường
- Radio: Nhà riêng | Chung cư
- Số nhà 
- Ghi chú</t>
  </si>
  <si>
    <t>Check Reload thông tin địa chỉ khi thay đổi Tỉnh/Thành phố</t>
  </si>
  <si>
    <t>1. Click trường Tỉnh/Thành phố chọn 1 giá trị bất kỳ 
2. Chọn 1 tỉnh/thành phố khác bước 1</t>
  </si>
  <si>
    <t>Load lại Phường/Xã tương ứng và reset Tên đường, trigger kiểm tra chính sách</t>
  </si>
  <si>
    <t>Phường/Xã</t>
  </si>
  <si>
    <t>Check placeholder tại Phường/Xã</t>
  </si>
  <si>
    <t>- Truy cập màn hình đăng ký dịch vụ/thanh toán 
- Block ""Địa chỉ lắp đặt" đang hiển thị
- Chưa chọn data Phường/Xã</t>
  </si>
  <si>
    <t>1. Quan sát tại Phường/Xã khi chưa chọn data</t>
  </si>
  <si>
    <t>Hiển thị Placeholder là ''Chọn phường/xã"</t>
  </si>
  <si>
    <t>Check không chọn trường Phường/Xã</t>
  </si>
  <si>
    <t>1. Click Phường/Xã và không chọn data
2. Click khỏi trường Phường/Xã</t>
  </si>
  <si>
    <t>Hiển thị thông báo " Vui lòng chọn phường/xã."</t>
  </si>
  <si>
    <t>Check tìm kiếm theo tên Phường/Xã</t>
  </si>
  <si>
    <t>1. Click Phường/Xã
2. Nhập Phường/Xã cần tìm</t>
  </si>
  <si>
    <t>Hiển thị danh sách Phường/Xã đúng với dữ liệu đã nhập</t>
  </si>
  <si>
    <t>Check chọn Phường/Xã</t>
  </si>
  <si>
    <t>1. Click chọn Phường/Xã bất kỳ</t>
  </si>
  <si>
    <t>Check Reload thông tin địa chỉ khi thay đổi Phường/Xã</t>
  </si>
  <si>
    <t>- Truy cập màn hình đăng ký dịch vụ/thanh toán 
- Block "Địa chỉ lắp đặt" đang hiển thị
- Chưa chọn data Phường/Xã</t>
  </si>
  <si>
    <t>1. Click Phường/Xã và thay đổi 1 giá trị khác</t>
  </si>
  <si>
    <t>Hiển thị Phường/Xã đã chọn đồng thời reset Tên đường và trigger kiểm tra chính sách</t>
  </si>
  <si>
    <t xml:space="preserve">Tên đường </t>
  </si>
  <si>
    <t>Check placeholder tại Tên đường</t>
  </si>
  <si>
    <t>- Truy cập màn hình đăng ký dịch vụ/thanh toán 
- Block "Địa chỉ lắp đặt" đang hiển thị
- Chưa chọn data Tên đường</t>
  </si>
  <si>
    <t>1. Quan sát tại Tên đường khi chưa chọn data</t>
  </si>
  <si>
    <t>Hiển thị Placeholder là ''Chọn tên đường"</t>
  </si>
  <si>
    <t>Check không chọn trường Tên đường</t>
  </si>
  <si>
    <t>1. Click Tên đường và không chọn data
2. Click khỏi trường Tên đường</t>
  </si>
  <si>
    <t>Hiển thị thông báo " Vui lòng chọn tên đường."</t>
  </si>
  <si>
    <t>Check tìm kiếm theo tên Tên đường</t>
  </si>
  <si>
    <t>- Truy cập màn hình đăng ký dịch vụ/thanh toán 
- Block "Địa chỉ lắp đặt" đang hiển thị
- Đã chọn Phường/Xã</t>
  </si>
  <si>
    <t>1. Click Tên đường
2. Nhập Tên đường cần tìm</t>
  </si>
  <si>
    <t>Hiển thị danh sách Tên đường đúng với dữ liệu đã nhập
*không trim khoảng cách trước khi thực hiện tìm kiếm</t>
  </si>
  <si>
    <t>Check chọn Tên đường</t>
  </si>
  <si>
    <t>1. Click chọn Tên đường bất kỳ</t>
  </si>
  <si>
    <t>Nhà riêng</t>
  </si>
  <si>
    <t>Click radio Nhà riêng</t>
  </si>
  <si>
    <t>- Truy cập màn hình đăng ký dịch vụ/thanh toán 
- Block "Địa chỉ lắp đặt" đang hiển thị</t>
  </si>
  <si>
    <t>1. Click chọn radio Nhà riêng
2. Check hiển thị các trường thông tin chi tiết bên dưới radio</t>
  </si>
  <si>
    <t>Hiển thị trường thông tin gồm: Số nhà*</t>
  </si>
  <si>
    <t>Check placeholder tại Số nhà*</t>
  </si>
  <si>
    <t>1. Click chọn radio Nhà riêng
2. Quan sát tại Số nhà* khi chưa nhập data</t>
  </si>
  <si>
    <t>Hiển thị Placeholder là ''Nhập số nhà"</t>
  </si>
  <si>
    <t xml:space="preserve">Check không nhập trường Số nhà </t>
  </si>
  <si>
    <t>1. Chọn radio btn Nhà riêng
2. Click Số nhà và không nhập data 
3. Click ra ngoài trường Số nhà</t>
  </si>
  <si>
    <t>Hiển thị thông báo: "Vui lòng nhập địa chỉ/số nhà."</t>
  </si>
  <si>
    <r>
      <rPr>
        <rFont val="Calibri"/>
        <b/>
        <color theme="1"/>
        <sz val="12.0"/>
      </rPr>
      <t xml:space="preserve">Check nhập hoặc copy-paste trên 50 </t>
    </r>
    <r>
      <rPr>
        <rFont val="Calibri"/>
        <b/>
        <strike/>
        <color theme="1"/>
        <sz val="12.0"/>
      </rPr>
      <t xml:space="preserve">100 </t>
    </r>
    <r>
      <rPr>
        <rFont val="Calibri"/>
        <b/>
        <color theme="1"/>
        <sz val="12.0"/>
      </rPr>
      <t xml:space="preserve">kí tự </t>
    </r>
  </si>
  <si>
    <r>
      <rPr>
        <rFont val="Calibri"/>
        <color theme="1"/>
        <sz val="12.0"/>
      </rPr>
      <t xml:space="preserve">1. Chọn radio btn Nhà riêng
2. Nhập hoặc copy-paste Địa chỉ chi tiết trên 50 </t>
    </r>
    <r>
      <rPr>
        <rFont val="Calibri"/>
        <strike/>
        <color theme="1"/>
        <sz val="12.0"/>
      </rPr>
      <t xml:space="preserve">100 </t>
    </r>
    <r>
      <rPr>
        <rFont val="Calibri"/>
        <color theme="1"/>
        <sz val="12.0"/>
      </rPr>
      <t xml:space="preserve">kí tự </t>
    </r>
  </si>
  <si>
    <r>
      <rPr>
        <rFont val="Calibri"/>
        <color theme="1"/>
        <sz val="12.0"/>
      </rPr>
      <t xml:space="preserve">Chỉ cho phép nhập và hiển thi tối đa 50 </t>
    </r>
    <r>
      <rPr>
        <rFont val="Calibri"/>
        <strike/>
        <color theme="1"/>
        <sz val="12.0"/>
      </rPr>
      <t xml:space="preserve">100 </t>
    </r>
    <r>
      <rPr>
        <rFont val="Calibri"/>
        <color theme="1"/>
        <sz val="12.0"/>
      </rPr>
      <t>kí tự</t>
    </r>
  </si>
  <si>
    <t>Chung cư</t>
  </si>
  <si>
    <t>Click radio Chung cư</t>
  </si>
  <si>
    <t>1. Click chọn radio Chung cư
2. Check hiển thị thêm các trường thông tin</t>
  </si>
  <si>
    <t>Hiển thị thêm các trường thông tin gồm: 
+ Tên chung cư
+ Tòa nhà 
+ Số tầng 
+ Số phòng</t>
  </si>
  <si>
    <t>Check dữ liệu load tại Tên chung cư</t>
  </si>
  <si>
    <t>- Truy cập màn hình đăng ký dịch vụ/thanh toán 
- Block "Địa chỉ lắp đặt" đang hiển thị
- Đã chọn Tỉnh/Thành phố và Phường/Xã</t>
  </si>
  <si>
    <t>1. Click btn radio Chung cư
2. Click dropdown list Tên chung cư
3. Check dữ liệu đang load tại Tên chung cư</t>
  </si>
  <si>
    <t>Hiển thị danh sách chung cư thuộc Tỉnh/ Thành + Phường/ Xã đã chọn theo ĐCHC 2 cấp.
Mặc định rỗng</t>
  </si>
  <si>
    <t>Check tìm kiếm theo Tên chung cư</t>
  </si>
  <si>
    <t>1. Click btn radio Chung cư
2. Click dropdown list Tên chung cư
3. Nhập tên chung cư cần tìm kiếm</t>
  </si>
  <si>
    <t>Hiển thị chung cư đang tìm
** không trim khoảng cách trước khi thực hiện tìm kiếm</t>
  </si>
  <si>
    <t>Check placeholder tại Tòa nhà</t>
  </si>
  <si>
    <t>1. Click btn radio Chung cư
2. Quan sát tại Tòa nhà khi chưa nhập data</t>
  </si>
  <si>
    <t>Hiển thị placeholder "Nhập tên toà nhà"</t>
  </si>
  <si>
    <t>Check không nhập Toà nhà</t>
  </si>
  <si>
    <t>1. Click btn radio Chung cư
2. Không nhập Tòa nhà
3. Nhập các trường bắt buộc khác
4 . Click Tiếp tục</t>
  </si>
  <si>
    <t>Cho phép điều hướng qua màn hình thanh toán không báo lỗi (không bắt buộc)</t>
  </si>
  <si>
    <t>Check nhập/copy-paste Tòa nhà quá 10 ký tự</t>
  </si>
  <si>
    <t>1. Click btn radio Chung cư
2. Nhập/copy-paste Tòa nhà &gt; 10 ký tự</t>
  </si>
  <si>
    <t>Chỉ cho phép nhập và hiển thị tối đa 10 ký tự</t>
  </si>
  <si>
    <t>Check placeholder tại Số tầng</t>
  </si>
  <si>
    <t>1. Click btn radio Chung cư
2. Quan sát tại Số tầng khi chưa nhập data</t>
  </si>
  <si>
    <t>Hiển thị placeholder "Nhập số tầng"</t>
  </si>
  <si>
    <t>Check không nhập Số tầng</t>
  </si>
  <si>
    <t>1. Click btn radio Chung cư
2. Click Số tầng và không nhập dữ liệu
3. Click khỏi trường Số tầng</t>
  </si>
  <si>
    <t>Border đỏ Số tầng và hiển thị thông báo: "Vui lòng nhập số tầng."</t>
  </si>
  <si>
    <t>Check nhập/copy-paste Số tầng quá 10 ký tự</t>
  </si>
  <si>
    <t>1. Click btn radio Chung cư
2. Check nhập/copy-paste Số tầng quá 10 ký tự</t>
  </si>
  <si>
    <t>Check placeholder tại Số phòng</t>
  </si>
  <si>
    <t>1. Click btn radio Chung cư
2. Quan sát tại Số phòng khi chưa nhập data</t>
  </si>
  <si>
    <t>Hiển thị placeholder "Nhập số phòng"</t>
  </si>
  <si>
    <t>Check không nhập Số phòng</t>
  </si>
  <si>
    <t>1. Click btn radio Chung cư
2. Click Số phòng và không nhập dữ liệu
3. Click khỏi trường Số phòng</t>
  </si>
  <si>
    <t>Border đỏ Số phòng và hiển thị thông báo: "Vui lòng nhập số phòng."</t>
  </si>
  <si>
    <t>Check nhập/copy-paste Số phòng quá 10 ký tự</t>
  </si>
  <si>
    <t>1. Click btn radio Chung cư
2.Check nhập/copy-paste Số phòng quá 10 ký tự</t>
  </si>
  <si>
    <t>Ghi chú</t>
  </si>
  <si>
    <t>Check placeholder tại Ghi chú</t>
  </si>
  <si>
    <t>1. Quan sát tại Ghi chú khi chưa nhập data</t>
  </si>
  <si>
    <t>Hiển thị Placeholder là ''Gọi cho tôi trước 30 phút nhé!"</t>
  </si>
  <si>
    <t>Check không chọn trường Ghi chú</t>
  </si>
  <si>
    <t>1. Click Ghi chú và không nhâp data
2. Click khỏi trường Ghi chú</t>
  </si>
  <si>
    <t>Không hiển thị thông báo lỗi (không bắt buộc nhập)</t>
  </si>
  <si>
    <t>Check nhập/copy-paste trên 100 kí tự trường ghi chú</t>
  </si>
  <si>
    <t xml:space="preserve">1. Nhập/copy-paste trên 100 kí tự trường ghi chú
</t>
  </si>
  <si>
    <t xml:space="preserve">Chỉ cho phép nhập và hiển thị 100 ký tự </t>
  </si>
  <si>
    <t xml:space="preserve">Check hiển thị popup thông báo khi chọn địa chỉ không có chính sách </t>
  </si>
  <si>
    <t>1. Chọn Tỉnh/Thành phố,Phường/xã bất kỳ không có chính sách
2. Check hiển thị popup thông báo khi chọn địa chỉ không có chính sách</t>
  </si>
  <si>
    <t xml:space="preserve">Hiển thị popup thông báo như sau:
- Title: Chưa hỗ trợ chính sách!
- Nội dung: "Địa chỉ của Quý khách hiện chưa hỗ trợ chính sách cho sản phẩm đang chọn. Nhân viên FPT sẽ liên hệ để tư vấn. Mọi thắc mắc, vui lòng liên hệ 1900 6600 để được giải đáp. Xin cảm ơn!"
Button Đóng </t>
  </si>
  <si>
    <t xml:space="preserve">Check hiển thị popup thông báo khi chọn địa chỉ không có chính sách &gt;&gt; Click bnt Đóng </t>
  </si>
  <si>
    <t>1. Chọn Tỉnh/Thành phố,Phường/xã bất kỳ không có chính sách
2. Click btn Đóng trên popup Chưa hỗ trợ chính sách</t>
  </si>
  <si>
    <t>Đóng popup, disable btn Tiếp tục</t>
  </si>
  <si>
    <t xml:space="preserve">Check đẩy KHTN khi chọn địa chỉ không có chính sách </t>
  </si>
  <si>
    <t>- Truy cập màn hình đăng ký dịch vụ/thanh toán 
- Block "Địa chỉ lắp đặt" đang hiển thị
 - Có thể đẩy KHTN thành công</t>
  </si>
  <si>
    <t>1. Chọn Tỉnh/Thành phố,Phường/xã bất kỳ không có chính sách
2. Click btn Đóng trên popup Chưa hỗ trợ chính sách!
3. Truy cập https://saleplatform-stag.fpt.net/web-admin check thông tin KHTN</t>
  </si>
  <si>
    <t>Đẩy KHTN thành công tương ứng với SĐT đã nhập</t>
  </si>
  <si>
    <t>Popup Địa chỉ hành chính cũ (3 cấp)</t>
  </si>
  <si>
    <t xml:space="preserve">Check UI popup Địa chỉ hành chính cũ </t>
  </si>
  <si>
    <t>1. Click link Địa chỉ hành chính cũ
2. Check UI popup Địa chỉ hành chính cũ</t>
  </si>
  <si>
    <t>Popup Địa chỉ hành chính cũ gồm:
- Title: Địa chỉ hành chính cũ
- Label: Bạn vui lòng xác nhận vị trí lắp đặt để cập nhật vị trí hành chính mới
- droplist Tỉnh/ Thành phố
- droplist Quận/ Huyện
- droplist Phường/ Xã
- droplist Tên đường
- Địa chỉ hành chính mới (hiện khi chọn full thông tin)
- icon x
- btn Xác nhận</t>
  </si>
  <si>
    <t xml:space="preserve">Check Load data trường Tỉnh/ Thành phố _Popup Địa chỉ hành chính cũ </t>
  </si>
  <si>
    <t>1. Click link Địa chỉ hành chính cũ
2. Check Load data trường Tỉnh/ Thành phố</t>
  </si>
  <si>
    <t xml:space="preserve">Hiển thị đúng, đủ thông tin tỉnh thành trên toàn quốc: 63 Tỉnh thành theo ĐCHC 3 cấp 
- Cho phép chọn từng tỉnh thành </t>
  </si>
  <si>
    <t xml:space="preserve">Check không chọn trường Tỉnh/ Thành phố _Popup Địa chỉ hành chính cũ </t>
  </si>
  <si>
    <t>1. Click link Địa chỉ hành chính cũ
2. Click vô trường Tỉnh/Thành phố
3. Click btn Xác nhận</t>
  </si>
  <si>
    <t xml:space="preserve">Disable btn Xác nhận </t>
  </si>
  <si>
    <t xml:space="preserve">Check chọn 1 Tỉnh/ Thành phố _Popup Địa chỉ hành chính cũ </t>
  </si>
  <si>
    <t>1. Click link Địa chỉ hành chính cũ
2. Chọn 1 Tỉnh/ Thành phố</t>
  </si>
  <si>
    <t>Hiện thị đúng giá trị chọn</t>
  </si>
  <si>
    <t xml:space="preserve">Check tìm kiếm theo tên Tỉnh/ Thành phố _Popup Địa chỉ hành chính cũ </t>
  </si>
  <si>
    <t>1 Click link Địa chỉ hành chính cũ
2. Nhập Tỉnh/ Thành phố cần tìm</t>
  </si>
  <si>
    <t>Hiện danh sách gới ý các tỉnh thành phố thoả từ khoá cần tìm</t>
  </si>
  <si>
    <t xml:space="preserve">Check quy tắc tìm kiếm theo tên Tỉnh/ Thành phố _Popup Địa chỉ hành chính cũ </t>
  </si>
  <si>
    <t>1. Click link Địa chỉ hành chính cũ
2. Nhập từ khoá vào droplist Tỉnh/Thành phố
3. Check quy tắc tìm kiếm theo tên Tỉnh/ Thành phố</t>
  </si>
  <si>
    <t>Hệ thống không trim khoảng cách trước khi thực hiện tìm kiếm, tìm kiếm theo quy tắc contains</t>
  </si>
  <si>
    <t xml:space="preserve">Check Load data trường Quận/ Huyện _Popup Địa chỉ hành chính cũ </t>
  </si>
  <si>
    <t>1. Click link Địa chỉ hành chính cũ
2. Chọn 1 Tỉnh/ Thành phố
3. Check Load data trường Quận/ Huyện</t>
  </si>
  <si>
    <t>Hiển thị đúng, đủ thông tin Quận/ Huyện thuộc thành phố đã chọn theo ĐCHC 3 cấp</t>
  </si>
  <si>
    <t xml:space="preserve">Check không chọn trường Quận/ Huyện _Popup Địa chỉ hành chính cũ </t>
  </si>
  <si>
    <t>1. Click link Địa chỉ hành chính cũ
2. Chọn 1 Tỉnh/ Thành phố
3. Để rỗng Quận/ Huyện
4. Click btn Xác nhận</t>
  </si>
  <si>
    <t xml:space="preserve">Check chọn 1 Quận/ Huyện _Popup Địa chỉ hành chính cũ </t>
  </si>
  <si>
    <t>1. Click link Địa chỉ hành chính cũ
2. Chọn 1 Tỉnh/ Thành phố
3. Chọn 1 Quận/ Huyện</t>
  </si>
  <si>
    <t xml:space="preserve">Check quy tắc tìm kiếm theo tên Quận/ Huyện _Popup Địa chỉ hành chính cũ </t>
  </si>
  <si>
    <t>1. Click link Địa chỉ hành chính cũ
2. Chọn 1 Tỉnh/ Thành phố
3. Nhập từ khoá vào droplist Quận/ Huyện
4. Check quy tắc tìm kiếm theo tên Quận/ Huyện</t>
  </si>
  <si>
    <t xml:space="preserve"> tìm kiếm theo quy tắc contains</t>
  </si>
  <si>
    <t xml:space="preserve">Check Load data trường Phường/ Xã _Popup Địa chỉ hành chính cũ </t>
  </si>
  <si>
    <t>1. Click link Địa chỉ hành chính cũ
2. Chọn 1 Tỉnh/ Thành phố + Chọn 1 Quận/ Huyện
3. Check Load data trường Phường/ Xã</t>
  </si>
  <si>
    <t>Hiển thị đúng, đủ thông tin Phường/ Xã thuộc Quận/ huyện đã chọn theo ĐCHC 3 cấp</t>
  </si>
  <si>
    <t xml:space="preserve">Check không chọn trường Phường/ Xã _Popup Địa chỉ hành chính cũ </t>
  </si>
  <si>
    <t>1. Click link Địa chỉ hành chính cũ
2. Chọn 1 Tỉnh/ Thành phố + Chọn 1 Quận/ Huyện
3. Để rỗng Phường/ Xã
4. Click btn Xác nhận</t>
  </si>
  <si>
    <t xml:space="preserve">Check chọn 1 Phường/ Xã _Popup Địa chỉ hành chính cũ </t>
  </si>
  <si>
    <t>1. Click link Địa chỉ hành chính cũ
2. Chọn 1 Tỉnh/ Thành phố + Quận/ Huyện
3. Chọn 1 Phường/ Xã</t>
  </si>
  <si>
    <t>Hiện thị đúng giá trị đã chọn</t>
  </si>
  <si>
    <t xml:space="preserve">Check tìm kiếm theo tên Phường/ Xã _Popup Địa chỉ hành chính cũ </t>
  </si>
  <si>
    <t>1. Click link Địa chỉ hành chính cũ
2. Chọn 1 Tỉnh/ Thành phố + Chọn 1 Quận/ Huyện
3. Nhập Phường/ Xã cần tìm</t>
  </si>
  <si>
    <t>Hiện danh sách gới ý các phường/ xã thoả từ khoá cần tìm
 *tìm kiếm theo quy tắc contains</t>
  </si>
  <si>
    <t xml:space="preserve">Check không chọn trường Tên đường _Popup Địa chỉ hành chính cũ </t>
  </si>
  <si>
    <t>1. Click link Địa chỉ hành chính cũ
2. Chọn 1 Tỉnh/ Thành phố + Quận/ Huyện + Phường/ Xã
3. Để rỗng trường Tên đường
4. Click btn Xác nhận</t>
  </si>
  <si>
    <t xml:space="preserve">Check chọn 1 Tên đường _Popup Địa chỉ hành chính cũ </t>
  </si>
  <si>
    <t>1. Click link Địa chỉ hành chính cũ
2. Chọn 1 Tỉnh/ Thành phố + Quận/ Huyện + Phường/ Xã
3. Chọn 1 Tên đường</t>
  </si>
  <si>
    <t xml:space="preserve">Check tìm kiếm theo tên Tên đường _Popup Địa chỉ hành chính cũ </t>
  </si>
  <si>
    <t>1. Click link Địa chỉ hành chính cũ
2. Chọn 1 Tỉnh/ Thành phố + Quận/ Huyện + Phường/ Xã
3. Nhập Tên đường cần tìm</t>
  </si>
  <si>
    <t>Hiện danh sách gới ý các Tên đường thoả từ khoá cần tìm</t>
  </si>
  <si>
    <t xml:space="preserve">Check quy tắc tìm kiếm theo tên Tên đường _Popup Địa chỉ hành chính cũ </t>
  </si>
  <si>
    <t>1. Click link Địa chỉ hành chính cũ
2. Chọn 1 Tỉnh/ Thành phố + Quận/ Huyện + Phường/ Xã
3. Nhập Tên đường cần tìm 
4. Check quy tắc tìm kiếm</t>
  </si>
  <si>
    <t xml:space="preserve">Check rule hiển thị sau khi chọn Tên đường _Popup Địa chỉ hành chính cũ </t>
  </si>
  <si>
    <t>1. Click link Địa chỉ hành chính cũ
2. Chọn 1 Tỉnh/ Thành phố + Quận/ Huyện + Phường/ Xã
3. Chọn 1 Tên đường
4. Check hiển thị các trường</t>
  </si>
  <si>
    <t>- Hiển thị trường Địa chỉ hành chính mới sau khi đã chọn Tên đường của địa chỉ hành chính cũ
- Enable btn Xác nhận</t>
  </si>
  <si>
    <t xml:space="preserve">Click icon x _Popup Địa chỉ hành chính cũ </t>
  </si>
  <si>
    <t>1. Click link Địa chỉ hành chính cũ
2. Chọn 1 Tỉnh/ Thành phố + Quận/ Huyện + Phường/ Xã
3. Chọn 1 Tên đường
4. Click icon x</t>
  </si>
  <si>
    <t>- Không cập nhật Địa chỉ hành chính mới
- Quay về màn hình form đăng ký</t>
  </si>
  <si>
    <t xml:space="preserve">Check nhấn btn Xác nhận chọn Địa chỉ hành chính _Popup Địa chỉ hành chính cũ </t>
  </si>
  <si>
    <t>1. Click link Địa chỉ hành chính cũ
2. Chọn 1 Tỉnh/ Thành phố + Quận/ Huyện + Phường/ Xã
3. Chọn 1 Tên đường
4. Click btn Xác nhận</t>
  </si>
  <si>
    <t>- Đẩy thông tin Địa chỉ hành chính mới đã chọn ( Tỉnh/ Thành phố, Phường/Xã, Tên đường) vào form đăng ký
- Tắt popup Chọn Địa chỉ hành chính cũ
- Quay về màn hình form đăng ký</t>
  </si>
  <si>
    <t>Check data trường Tỉnh/ thành ; trường Phường/ Xã ; trường Tên đường sau khi Xác nhận ở Địa chỉ hành chính cũ</t>
  </si>
  <si>
    <t>1. Click link Địa chỉ hành chính cũ
2. Chọn 1 Tỉnh/ Thành phố + Quận/ Huyện + Phường/ Xã + Tên đường
3. Click btn Xác nhận
4. Check data Địa chỉ lắp đặt ở form đăng ký</t>
  </si>
  <si>
    <t>Hiển thị dữ liệu Địa chỉ hành chính mới (2 cấp) đúng với Đã chọn ở popup Địa chỉ hành chính cũ (3 cấp)</t>
  </si>
  <si>
    <t>Màn hình nhập thông tin - Block Thông tin khách hàng</t>
  </si>
  <si>
    <t>Click icon Collapse trường thông tin khách hàng</t>
  </si>
  <si>
    <t xml:space="preserve">- Truy cập màn hình đăng ký dịch vụ/thanh toán </t>
  </si>
  <si>
    <t>1. Truy cập màn hình Thanh toán dịch vụ
2. Click icon Collapse</t>
  </si>
  <si>
    <t>Thu gọn các trường thông tin tại Block Thông tin khách hàng và thay đổi thành icon collapse -&gt; expand</t>
  </si>
  <si>
    <t>Click icon Expand trường thông tin khách hàng</t>
  </si>
  <si>
    <t>1. Truy cập màn hình Thanh toán dịch vụ
2. Click icon Collapse
3. Click icon Expand</t>
  </si>
  <si>
    <t xml:space="preserve">Mở rộng các trường thông tin tại Block Thông tin khách hàng và thay đổi thành icon expand-&gt; collapse </t>
  </si>
  <si>
    <t>Check format hiển thị tại địa chỉ là Nhà riêng</t>
  </si>
  <si>
    <t>1. Truy cập màn hình Thanh toán dịch vụ
2. Check format hiển thị tại địa chỉ (Nhà riêng)</t>
  </si>
  <si>
    <t xml:space="preserve"> Hiển thị theo format: Số nhà, Tên đường, Phường xã, Tỉnh thành 
* ghi chú: Load khi chọn full địa chỉ</t>
  </si>
  <si>
    <t>Check format hiển thị tại địa chỉ là Chung cư</t>
  </si>
  <si>
    <t>1. Truy cập màn hình Thanh toán dịch vụ
2. Check format hiển thị tại địa chỉ (Chung cư)</t>
  </si>
  <si>
    <t xml:space="preserve"> Hiển thị theo format: Tòa nhà, Tầng, Phòng, Tên chung cư, Tên đường, Phường xã, Tỉnh thành 
* ghi chú: Load khi chọn full địa chỉ</t>
  </si>
  <si>
    <t>Check người dùng không thể chỉnh sửa thông tin trong dropdown</t>
  </si>
  <si>
    <t>1. Truy cập màn hình Thanh toán dịch vụ
2. Tại Block Thông tin khách hàng
3. Check người dùng không thể chỉnh sửa thông tin trong dropdown</t>
  </si>
  <si>
    <t>Người dùng không thể chỉnh sửa thông tin Họ tên, Số điện thoại, Email, Địa chỉ</t>
  </si>
  <si>
    <t>Màn hình nhập thông tin - Block Phương thức thanh toán</t>
  </si>
  <si>
    <t>Check UI hiển thị của Block Phương thức thanh toán</t>
  </si>
  <si>
    <t>- Truy cập màn hình đăng ký dịch vụ/thanh toán 
- Dịch vụ có ít nhất 1 PTTT trong chính sách</t>
  </si>
  <si>
    <t>1. Quan sát block Phương thức thanh toán</t>
  </si>
  <si>
    <t>Hiển thị UI trong block Phương thức thanh toán
- Ô tick chọn: dạng radio
- Icon PTTT
- Tên PTTT 
- Miêu tả PTTT (tùy chính sách và config)
- Số lượng ưu đãi (tùy chính sách và config) 
- Button Xem thêm/ Rút gọn (tùy số lượng PTTT theo chính sách)</t>
  </si>
  <si>
    <t>Check các option trong phương thức thanh toán khi nhỏ hơn 4 PTTT</t>
  </si>
  <si>
    <t>1. Quan sát các option trong phương thức thanh toán khi nhỏ hơn 4 PTTT</t>
  </si>
  <si>
    <t>Hiển thị tất cả các PTTT đang có , không có btn Xem thêm</t>
  </si>
  <si>
    <t>Check các option trong phương thức thanh toán khi lớn hơn 4 PTTT</t>
  </si>
  <si>
    <t>1. Quan sát các option trong phương thức thanh toán khi lớn hơn 4 PTTT</t>
  </si>
  <si>
    <t>Hiển thị 4 PTTT thanh toán đầu tiên và btn Xem Thêm</t>
  </si>
  <si>
    <t>Check thứ tự option trong block phương thức thanh toán</t>
  </si>
  <si>
    <t>1. Quan sát thứ tự option trong block phương thức thanh toán</t>
  </si>
  <si>
    <t>Ưu tiên hiển thị PTTT có CTKM lên trên: mỗi khi có CTKM cho các PTTT (thứ tự hiển thị có thể thay đổi)</t>
  </si>
  <si>
    <t>Check miêu tả của các option trong PTTT</t>
  </si>
  <si>
    <t>1. Quan sát miêu tả của các option trong PTTT</t>
  </si>
  <si>
    <t>Các miêu tả trong PTTT hiển thị đúng đủ (không mờ chữ, không bể khối,...)</t>
  </si>
  <si>
    <t>Check số lượng ưu đãi của các option trong PTTT</t>
  </si>
  <si>
    <t>1. Quan sát số lượng ưu đãi của các option trong PTTT</t>
  </si>
  <si>
    <t>Hiển thị :""&lt;Số lượng&gt; ưu đãi"" - icon Collapse/Expand
+ Chi tiết số ưu đãi 
Mặc định hiển thị chi tiết số lượng ưu đãi khi chọn PTTT
**Tổng số ưu đãi được tính bằng các đầu mục text</t>
  </si>
  <si>
    <t>Check default option trong Block Phương thức thanh toán</t>
  </si>
  <si>
    <t>1. Quan sát default option trong Block Phương thức thanh toán</t>
  </si>
  <si>
    <t>Default option là option đầu tiên, và không thể bỏ chọn 
Khách hàng có thể thay đổi option theo nhu cầu của khách hàng</t>
  </si>
  <si>
    <t>Check behavior khi người dùng click btn Xem thêm</t>
  </si>
  <si>
    <t>- Truy cập màn hình đăng ký dịch vụ/thanh toán
Khi sp hỗ trợ nhiều hơn 4 PTTT</t>
  </si>
  <si>
    <t>1. Nhấn btn Xem thêm tại Block PTTT</t>
  </si>
  <si>
    <t>Hiển thị hết các PTTT đang có</t>
  </si>
  <si>
    <t>Check behavior khi người dùng click btn Thu gọn</t>
  </si>
  <si>
    <t>1. Nhấn btn Xem thêm tại Block PTTT
2. Nhấn nút Thu gọn</t>
  </si>
  <si>
    <t>List PTTT được rút gọn lại còn 4 option đầu tiên</t>
  </si>
  <si>
    <t>Check người dùng chỉ được chọn 1 option trong PTTT</t>
  </si>
  <si>
    <t>1. Chọn nhiều option trong PTTT</t>
  </si>
  <si>
    <t>User chỉ được chọn 1 option</t>
  </si>
  <si>
    <t>Màn hình nhập thông tin - Block Thông tin thanh toán</t>
  </si>
  <si>
    <t>Click icon Collapse trường Thông tin thanh toán</t>
  </si>
  <si>
    <t>1. Truy cập màn hình Thanh toán dịch vụ
2. Click icon Collapse tại block Thông tin thanh toán</t>
  </si>
  <si>
    <t>Thu gọn các trường tại Thông tin thanh toán</t>
  </si>
  <si>
    <t>Click icon Expand trường Thông tin thanh toán</t>
  </si>
  <si>
    <t>1. Truy cập màn hình Thanh toán dịch vụ
2. Click icon Collapse tại block Thông tin thanh toán
3. Click icon Expand tại block Thông tin thanh toán</t>
  </si>
  <si>
    <t>Mở rộng các trường tại Thông tin thanh toán</t>
  </si>
  <si>
    <t>Click vào hyperlink &lt;điều khoản&gt;</t>
  </si>
  <si>
    <t>1. Truy cập màn hình Thanh toán dịch vụ
2. Input hợp lệ tất cả các trường thông tin
3. Click vào hyperlink &lt;điều khoản&gt;</t>
  </si>
  <si>
    <t>Điều hướng sang màn hình điều khoản của FPT Telecom</t>
  </si>
  <si>
    <t>Check hiển thị đúng tên gói</t>
  </si>
  <si>
    <t>1. Truy cập màn hình Thanh toán dịch vụ
2. Check hiển thị tên gói tại block Thông tin thanh toán</t>
  </si>
  <si>
    <t>Hiển thị đúng tên gói đang đăng ký</t>
  </si>
  <si>
    <t>Check hiển thị giá tiền có Chính sách_ Chung cư</t>
  </si>
  <si>
    <t xml:space="preserve">- Truy cập màn hình đăng ký dịch vụ/thanh toán 
- Có chính sách chung cư </t>
  </si>
  <si>
    <t>1. Truy cập màn hình Thanh toán dịch vụ
2. Check hiển thị giá tiền</t>
  </si>
  <si>
    <t xml:space="preserve">Giá gói hiển thị đúng và đủ theo CS chung cư
 - Mặc định là giá gói 1 tháng </t>
  </si>
  <si>
    <t>Check hiển thị giá tiền có Chính sách _ nhà phố</t>
  </si>
  <si>
    <t>- Truy cập màn hình đăng ký dịch vụ/thanh toán 
- Có chính sách nhà phố</t>
  </si>
  <si>
    <t>Giá gói hiển thị đúng và đủ theo CS nhà phố
 - Mặc định là giá gói 1 tháng</t>
  </si>
  <si>
    <t>Check hiển thị ô nhập mã khuyến mãi và link 'Chọn ưu đãi'</t>
  </si>
  <si>
    <t>1. Truy cập màn hình Thanh toán dịch vụ
2. Check ô nhập mã khuyến mãi tại block Thông tin thanh toán bên phải</t>
  </si>
  <si>
    <t>Hiển thị: ô input (placeholder 'Nhập mã khuyến mãi') + link 'Chọn ưu đãi' (có badge số ưu đãi) + btn 'Áp dụng' (disable mặc định)</t>
  </si>
  <si>
    <t>Check btn 'Áp dụng' chỉ enable khi có nội dung trong ô mã khuyến mãi</t>
  </si>
  <si>
    <t>1. Truy cập màn hình Thanh toán dịch vụ
2. Check btn 'Áp dụng' khi ô mã rỗng
3. Nhập 1 ký tự vào ô mã
4. Check lại btn 'Áp dụng'</t>
  </si>
  <si>
    <t>Khi ô rỗng: btn 'Áp dụng' disable (màu xám)
Khi có ký tự: btn 'Áp dụng' enable (màu xanh)</t>
  </si>
  <si>
    <t>Click link 'Chọn ưu đãi' mở danh sách ưu đãi khả dụng</t>
  </si>
  <si>
    <t>- Truy cập màn hình đăng ký dịch vụ/thanh toán  
- Có ưu đãi đang hoạt động</t>
  </si>
  <si>
    <t>1. Truy cập màn hình Thanh toán dịch vụ
2. Click link 'Chọn ưu đãi'
3. Check màn hình/popup hiển thị</t>
  </si>
  <si>
    <t>Hiển thị danh sách ưu đãi khả dụng
Badge số hiển thị đúng số lượng ưu đãi</t>
  </si>
  <si>
    <t>Check mã khuyến mãi hợp lệ áp dụng giảm giá và cập nhật Sô tiền Cần thanh toán</t>
  </si>
  <si>
    <t>- Truy cập màn hình đăng ký dịch vụ/thanh toán 
- Có mã khuyến mãi hợp lệ đang hoạt động</t>
  </si>
  <si>
    <t>1. Truy cập màn hình Thanh toán dịch vụ
2. Nhập mã khuyến mãi hợp lệ
3. Click btn 'Áp dụng'
4. Check số tiền Cần thanh toán</t>
  </si>
  <si>
    <t>Hiển thị giá trị giảm
Cần thanh toán = giá gốc - giá trị giảm (cập nhật đúng)</t>
  </si>
  <si>
    <t>Check nhập mã khuyến mãi không hợp lệ hoặc hết hạn</t>
  </si>
  <si>
    <t>- Truy cập màn hình đăng ký dịch vụ/thanh toán 
- Mã khuyến mãi không tồn tại hoặc đã hết hạn</t>
  </si>
  <si>
    <t>1. Truy cập màn hình Thanh toán dịch vụ
2. Nhập mã khuyến mãi không hợp lệ
3. Click btn 'Áp dụng'
4. Check thông báo</t>
  </si>
  <si>
    <t>Hiển thị thông báo lỗi: mã không hợp lệ hoặc đã hết hạn
Số tiền Cần thanh toán không thay đổi</t>
  </si>
  <si>
    <t xml:space="preserve">Màn hình nhập thông tin - Luồng thanh toán </t>
  </si>
  <si>
    <t>Click button Thanh toán khi chưa nhập đủ các trường bắt buộc</t>
  </si>
  <si>
    <t>1. Truy cập màn hình Thanh toán dịch vụ
2. Không nhập đủ các trường bắt buộc
3. Click 'Thanh toán'</t>
  </si>
  <si>
    <t>Hệ thống show thông báo lỗi ở các trường bắt buộc nhập, không thực hiện thanh toán đơn hàng</t>
  </si>
  <si>
    <t>Click button Thanh toán khi nhập đủ các trường bắt buộc _ PTTT =COD</t>
  </si>
  <si>
    <t>1. Truy cập màn hình Thanh toán dịch vụ
2. Nhập đầy đủ các trường bắt buộc 
3. Chọn PTTT = COD
4. Click 'Thanh toán'</t>
  </si>
  <si>
    <t>Điều hướng qua đúng màn hình hoàn tất đơn hàng với trạng thái chưa thanh toán (UI chi tiết check riêng ở từng sheet dịch vụ)</t>
  </si>
  <si>
    <t xml:space="preserve">Click button Thanh toán khi nhập đủ các trường bắt buộc _ PTTT = Online </t>
  </si>
  <si>
    <t>1. Truy cập màn hình Thanh toán dịch vụ
2. Nhập đầy đủ các trường bắt buộc 
3. Chọn PTTT = Online (ATM,VISA, QR code)
4. Click 'Thanh toán'</t>
  </si>
  <si>
    <t>Điều hướng qua đúng màn hình thanh toán tương ứng với PTTT đã chọn 
Đúng số tiền cần thanh toán(màn hình này của bên thứ 3 nên ko cần kiểm tra thông tin khác )</t>
  </si>
  <si>
    <t xml:space="preserve">Click double_click button Thanh toán </t>
  </si>
  <si>
    <t xml:space="preserve">1. Truy cập màn hình Thanh toán dịch vụ
2. Nhập đầy đủ các trường bắt buộc 
3. Chọn PTTT = Online (ATM,VISA, QR code)
4. DoubleClick btn 'Thanh toán'
5. Check log tạo đơn hàng </t>
  </si>
  <si>
    <t>Hệ thống chỉ tạo 1 đơn hàng và đúng thông tin đã nhập, không bị double đơn hàng</t>
  </si>
  <si>
    <t>Check click thanh toán khi quá session checkout (20p)</t>
  </si>
  <si>
    <t>1. Truy cập màn hình Thanh toán dịch vụ
2. Nhập đầy đủ các trường bắt buộc 
3. Chọn PTTT = Online (ATM,VISA, QR code)
4. Chờ hơn 20p
5. Click 'Thanh toán'</t>
  </si>
  <si>
    <t>Hiển thị thông báo lỗi hợp lý, và đẩy thông tin KH tiềm năng</t>
  </si>
  <si>
    <t>Check click thanh toán và chờ hết countdown thanh toán ở bên thứ 3</t>
  </si>
  <si>
    <t>1. Truy cập màn hình Thanh toán dịch vụ
2. Nhập đầy đủ các trường bắt buộc 
3. Chọn PTTT = Online (ATM,VISA, QR code)
4. Click 'Thanh toán'
5. Chờ hết thời gian thanh toán của kênh (~15p)</t>
  </si>
  <si>
    <t xml:space="preserve">Quay về tongdaiwifi và hiển thị màn hình không thành công </t>
  </si>
  <si>
    <t xml:space="preserve">Check click thanh toán &gt; Back về </t>
  </si>
  <si>
    <t>1. Truy cập màn hình Thanh toán dịch vụ
2. Nhập đầy đủ các trường bắt buộc 
3. Chọn PTTT = Online (ATM,VISA, QR code)
4. Click 'Thanh toán'
5. Click icon back trên trình duyệt</t>
  </si>
  <si>
    <t>Quay về màn hình dịch vụ và disable các thông tin không cho cập nhật, chỉ được cập nhật PTTT+mã ưu đãi</t>
  </si>
  <si>
    <t>Check click thanh toán &gt; Và thao tác hủy thanh toán từ bên thứ 3</t>
  </si>
  <si>
    <t>1. Truy cập màn hình Thanh toán dịch vụ
2. Nhập đầy đủ các trường bắt buộc 
3. Chọn PTTT = Online (ATM,VISA, QR code)
4. Click 'Thanh toán'
5. Thao tác Hủy/hoặc thanh toán không thành công (sai thông tin thẻ nhiều lần)</t>
  </si>
  <si>
    <t>Quay về tongdaiwifi và hiển thị màn hình không thành công 
- Đẩy KHTN</t>
  </si>
  <si>
    <t>Màn hình Hoàn tất đơn hàng</t>
  </si>
  <si>
    <t>Mã đơn hàng</t>
  </si>
  <si>
    <t xml:space="preserve">Check hiển thị tại Mã đơn hàng </t>
  </si>
  <si>
    <t>- Hiển thị màn hình hoàn tất đơn hàng thành công</t>
  </si>
  <si>
    <t xml:space="preserve">1. Tại bước Hoàn tất đơn hàng
2. Check hiển thị tại Mã đơn hàng </t>
  </si>
  <si>
    <t>Hiển thị đúng thông tin mã đơn hàng: 
Mã đơn hàng: &lt;mã đơn hàng&gt; + hyperlink Theo dõi ĐH</t>
  </si>
  <si>
    <t>Click vào hyperlink Theo dõi đơn hàng</t>
  </si>
  <si>
    <t>1. Tại bước Hoàn tất đơn hàng
2. Click vào hyperlink Theo dõi đơn hàng</t>
  </si>
  <si>
    <t>Hệ thống điều hướng KH đến màn hình theo dõi đơn hàng</t>
  </si>
  <si>
    <t xml:space="preserve">Thông tin khách hàng </t>
  </si>
  <si>
    <t xml:space="preserve">Check hiển thị tại Thông tin khách hàng </t>
  </si>
  <si>
    <t>1. Tại bước Hoàn tất đơn hàng
2. Check hiển thị tại Thông tin khách hàng</t>
  </si>
  <si>
    <t>Hiển thị đúng Thông tin khách hàng đã nhập tại bước thông tin đăng ký</t>
  </si>
  <si>
    <t>Check thu gọn Thông tin khách hàng</t>
  </si>
  <si>
    <t>1. Tại bước Hoàn tất đơn hàng
2. Click icon 'v' tại Thông tin khách hàng 
3. Check thu gọn Thông tin khách hàng</t>
  </si>
  <si>
    <t>Thu gọn block Thông tin khách hàng chỉ hiển thị title Thông tin khách hàng và thay đổi icon 'v' thành icon '^'</t>
  </si>
  <si>
    <t>Check mở rộng Thông tin khách hàng</t>
  </si>
  <si>
    <t>1. Tại bước Hoàn tất đơn hàng
2. Click icon '^' tại Thông tin khách hàng 
3. Check mở rộng Thông tin khách hàng</t>
  </si>
  <si>
    <t>Mở rộng block Thông tin khách hàng hiển thị tất cả các thông tin như mặc định và thay đổi icon '^' thành icon 'v'</t>
  </si>
  <si>
    <t>Thông tin thanh toán</t>
  </si>
  <si>
    <t>Check hiển thị tại Thông tin thanh toán</t>
  </si>
  <si>
    <t xml:space="preserve">1. Tại bước Hoàn tất đơn hàng
2. Check hiển thị tại Thông tin thanh toán </t>
  </si>
  <si>
    <t>Hiển thị đúng Thông tin thanh toán đã nhập tại bước thanh toán</t>
  </si>
  <si>
    <t>Check thu gọn Thông tin thanh toán</t>
  </si>
  <si>
    <t>1. Tại bước Hoàn tất đơn hàng
2. Click icon 'v' tại Thông tin thanh toán 
3. Check thu gọn Thông tin thanh toán</t>
  </si>
  <si>
    <t>Thu gọn block thông tin thanh toán chỉ hiển thị title Thông tin thanh toán và thay đổi icon 'v' thành icon '^'</t>
  </si>
  <si>
    <t>Check mở rộng Thông tin thanh toán</t>
  </si>
  <si>
    <t>1. Tại bước Hoàn tất đơn hàng
2. Click icon '^' tại Thông tin thanh toán
3. Check mở rộng Thông tin thanh toán</t>
  </si>
  <si>
    <t>Mở rộng block Thông tin thanh toán hiển thị tất cả các thông tin như mặc định và thay đổi icon '^' thành icon 'v'</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</si>
</sst>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1.0"/>
      <color theme="1"/>
      <name val="Arial"/>
    </font>
    <font>
      <sz val="11.0"/>
      <color rgb="FF000000"/>
      <name val="Calibri"/>
    </font>
    <font>
      <sz val="11.0"/>
      <color theme="1"/>
      <name val="Calibri"/>
    </font>
    <font>
      <b/>
      <sz val="11.0"/>
      <color rgb="FF000000"/>
      <name val="Calibri"/>
    </font>
    <font/>
    <font>
      <sz val="11.0"/>
      <color rgb="FFFFFFFF"/>
      <name val="Calibri"/>
    </font>
    <font>
      <b/>
      <sz val="11.0"/>
      <color theme="1"/>
      <name val="Calibri"/>
    </font>
    <font>
      <b/>
      <sz val="11.0"/>
      <color rgb="FFFFFFFF"/>
      <name val="Calibri"/>
    </font>
    <font>
      <sz val="12.0"/>
      <color rgb="FFFFFFFF"/>
      <name val="Calibri"/>
    </font>
    <font>
      <b/>
      <sz val="12.0"/>
      <color rgb="FFFFFFFF"/>
      <name val="Calibri"/>
    </font>
    <font>
      <b/>
      <sz val="16.0"/>
      <color theme="1"/>
      <name val="Calibri"/>
    </font>
    <font>
      <sz val="12.0"/>
      <color theme="1"/>
      <name val="Calibri"/>
    </font>
    <font>
      <b/>
      <sz val="12.0"/>
      <color theme="1"/>
      <name val="Calibri"/>
    </font>
    <font>
      <sz val="12.0"/>
      <color rgb="FF0000FF"/>
      <name val="Calibri"/>
    </font>
    <font>
      <b/>
      <u/>
      <sz val="12.0"/>
      <color rgb="FF0000FF"/>
      <name val="Calibri"/>
    </font>
    <font>
      <sz val="12.0"/>
      <color rgb="FF000000"/>
      <name val="Calibri"/>
    </font>
    <font>
      <sz val="12.0"/>
      <color rgb="FFCCCCCC"/>
      <name val="Calibri"/>
    </font>
    <font>
      <strike/>
      <sz val="12.0"/>
      <color rgb="FFCCCCCC"/>
      <name val="Calibri"/>
    </font>
    <font>
      <b/>
      <strike/>
      <sz val="12.0"/>
      <color theme="1"/>
      <name val="Calibri"/>
    </font>
    <font>
      <strike/>
      <sz val="12.0"/>
      <color rgb="FF000000"/>
      <name val="Calibri"/>
    </font>
    <font>
      <sz val="12.0"/>
      <color rgb="FF434343"/>
      <name val="Calibri"/>
    </font>
    <font>
      <b/>
      <sz val="12.0"/>
      <color rgb="FF434343"/>
      <name val="Calibri"/>
    </font>
    <font>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4472C4"/>
        <bgColor rgb="FF4472C4"/>
      </patternFill>
    </fill>
    <fill>
      <patternFill patternType="solid">
        <fgColor rgb="FFFFF2CC"/>
        <bgColor rgb="FFFFF2CC"/>
      </patternFill>
    </fill>
    <fill>
      <patternFill patternType="solid">
        <fgColor rgb="FFA4C2F4"/>
        <bgColor rgb="FFA4C2F4"/>
      </patternFill>
    </fill>
    <fill>
      <patternFill patternType="solid">
        <fgColor rgb="FFA9D08E"/>
        <bgColor rgb="FFA9D08E"/>
      </patternFill>
    </fill>
    <fill>
      <patternFill patternType="solid">
        <fgColor rgb="FFD0E0E3"/>
        <bgColor rgb="FFD0E0E3"/>
      </patternFill>
    </fill>
    <fill>
      <patternFill patternType="solid">
        <fgColor rgb="FFCCCCCC"/>
        <bgColor rgb="FFCCCCCC"/>
      </patternFill>
    </fill>
    <fill>
      <patternFill patternType="solid">
        <fgColor rgb="FF6FA8DC"/>
        <bgColor rgb="FF6FA8DC"/>
      </patternFill>
    </fill>
  </fills>
  <borders count="24">
    <border/>
    <border>
      <left/>
      <right/>
      <top/>
      <bottom/>
    </border>
    <border>
      <left/>
      <top/>
      <bottom/>
    </border>
    <border>
      <left/>
      <right/>
      <top/>
    </border>
    <border>
      <left/>
      <top/>
    </border>
    <border>
      <top/>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top style="thin">
        <color rgb="FF000000"/>
      </top>
    </border>
    <border>
      <right style="thin">
        <color rgb="FF000000"/>
      </right>
    </border>
    <border>
      <left/>
      <right style="thin">
        <color rgb="FF000000"/>
      </right>
      <bottom style="thin">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2" fontId="1" numFmtId="0" xfId="0" applyAlignment="1" applyFill="1" applyFont="1">
      <alignment vertical="center"/>
    </xf>
    <xf borderId="1" fillId="2"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1" fillId="2" fontId="4" numFmtId="0" xfId="0" applyAlignment="1" applyBorder="1" applyFont="1">
      <alignment shrinkToFit="0" vertical="center" wrapText="1"/>
    </xf>
    <xf borderId="1" fillId="2" fontId="2" numFmtId="0" xfId="0" applyAlignment="1" applyBorder="1" applyFont="1">
      <alignment shrinkToFit="0" vertical="center" wrapText="1"/>
    </xf>
    <xf borderId="2" fillId="2" fontId="2" numFmtId="0" xfId="0" applyAlignment="1" applyBorder="1" applyFont="1">
      <alignment horizontal="center" shrinkToFit="0" vertical="center" wrapText="1"/>
    </xf>
    <xf borderId="0" fillId="2"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3" fillId="2" fontId="2"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5" fillId="0" fontId="5" numFmtId="0" xfId="0" applyBorder="1" applyFont="1"/>
    <xf borderId="0" fillId="2" fontId="4" numFmtId="0" xfId="0" applyAlignment="1" applyFont="1">
      <alignment shrinkToFit="0" vertical="center" wrapText="1"/>
    </xf>
    <xf borderId="0" fillId="3" fontId="1" numFmtId="0" xfId="0" applyAlignment="1" applyFill="1" applyFont="1">
      <alignment vertical="center"/>
    </xf>
    <xf borderId="6" fillId="3" fontId="6" numFmtId="0" xfId="0" applyAlignment="1" applyBorder="1" applyFont="1">
      <alignment horizontal="center" shrinkToFit="0" vertical="center" wrapText="1"/>
    </xf>
    <xf borderId="7" fillId="0" fontId="5" numFmtId="0" xfId="0" applyBorder="1" applyFont="1"/>
    <xf borderId="6" fillId="2" fontId="7"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8" fillId="2" fontId="3" numFmtId="0" xfId="0" applyAlignment="1" applyBorder="1" applyFont="1">
      <alignment horizontal="center" shrinkToFit="0" vertical="center" wrapText="1"/>
    </xf>
    <xf borderId="8" fillId="2" fontId="7"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0" fillId="2" fontId="3" numFmtId="0" xfId="0" applyAlignment="1" applyFont="1">
      <alignment horizontal="center" shrinkToFit="0" vertical="center" wrapText="1"/>
    </xf>
    <xf borderId="3" fillId="2" fontId="3" numFmtId="0" xfId="0" applyAlignment="1" applyBorder="1" applyFont="1">
      <alignment horizontal="center" shrinkToFit="0" vertical="center" wrapText="1"/>
    </xf>
    <xf borderId="3" fillId="2" fontId="7" numFmtId="0" xfId="0" applyAlignment="1" applyBorder="1" applyFont="1">
      <alignment horizontal="center" shrinkToFit="0" vertical="center" wrapText="1"/>
    </xf>
    <xf borderId="4" fillId="2" fontId="7" numFmtId="0" xfId="0" applyAlignment="1" applyBorder="1" applyFont="1">
      <alignment horizontal="center" shrinkToFit="0" vertical="center" wrapText="1"/>
    </xf>
    <xf borderId="9" fillId="3" fontId="8" numFmtId="0" xfId="0" applyAlignment="1" applyBorder="1" applyFont="1">
      <alignment horizontal="center" shrinkToFit="0" vertical="center" wrapText="1"/>
    </xf>
    <xf borderId="9" fillId="3" fontId="9" numFmtId="0" xfId="0" applyAlignment="1" applyBorder="1" applyFont="1">
      <alignment horizontal="center" shrinkToFit="0" vertical="center" wrapText="1"/>
    </xf>
    <xf borderId="9" fillId="3" fontId="10" numFmtId="0" xfId="0" applyAlignment="1" applyBorder="1" applyFont="1">
      <alignment horizontal="center" shrinkToFit="0" vertical="center" wrapText="1"/>
    </xf>
    <xf borderId="10" fillId="3" fontId="10" numFmtId="0" xfId="0" applyAlignment="1" applyBorder="1" applyFont="1">
      <alignment horizontal="center" shrinkToFit="0" vertical="center" wrapText="1"/>
    </xf>
    <xf borderId="11" fillId="3" fontId="10" numFmtId="0" xfId="0" applyAlignment="1" applyBorder="1" applyFont="1">
      <alignment horizontal="center" shrinkToFit="0" vertical="center" wrapText="1"/>
    </xf>
    <xf borderId="12" fillId="0" fontId="5" numFmtId="0" xfId="0" applyBorder="1" applyFont="1"/>
    <xf borderId="13" fillId="0" fontId="5" numFmtId="0" xfId="0" applyBorder="1" applyFont="1"/>
    <xf borderId="14" fillId="3" fontId="10" numFmtId="0" xfId="0" applyAlignment="1" applyBorder="1" applyFont="1">
      <alignment horizontal="center" shrinkToFit="0" vertical="center" wrapText="1"/>
    </xf>
    <xf borderId="15" fillId="0" fontId="5" numFmtId="0" xfId="0" applyBorder="1" applyFont="1"/>
    <xf borderId="16" fillId="0" fontId="5" numFmtId="0" xfId="0" applyBorder="1" applyFont="1"/>
    <xf borderId="0" fillId="3" fontId="10" numFmtId="0" xfId="0" applyAlignment="1" applyFont="1">
      <alignment horizontal="center" shrinkToFit="0" vertical="center" wrapText="1"/>
    </xf>
    <xf borderId="17" fillId="0" fontId="5" numFmtId="0" xfId="0" applyBorder="1" applyFont="1"/>
    <xf borderId="18" fillId="3" fontId="10" numFmtId="0" xfId="0" applyAlignment="1" applyBorder="1" applyFont="1">
      <alignment horizontal="center" shrinkToFit="0" vertical="center" wrapText="1"/>
    </xf>
    <xf borderId="18" fillId="3" fontId="10" numFmtId="0" xfId="0" applyAlignment="1" applyBorder="1" applyFont="1">
      <alignment horizontal="left" shrinkToFit="0" vertical="center" wrapText="1"/>
    </xf>
    <xf borderId="14" fillId="4" fontId="11" numFmtId="0" xfId="0" applyAlignment="1" applyBorder="1" applyFill="1" applyFont="1">
      <alignment horizontal="left" readingOrder="0" shrinkToFit="0" vertical="center" wrapText="1"/>
    </xf>
    <xf borderId="18" fillId="0" fontId="3" numFmtId="0" xfId="0" applyAlignment="1" applyBorder="1" applyFont="1">
      <alignment horizontal="center" shrinkToFit="0" vertical="center" wrapText="1"/>
    </xf>
    <xf borderId="18" fillId="0" fontId="3" numFmtId="0" xfId="0" applyAlignment="1" applyBorder="1" applyFont="1">
      <alignment shrinkToFit="0" vertical="center" wrapText="1"/>
    </xf>
    <xf borderId="18" fillId="0" fontId="3" numFmtId="0" xfId="0" applyAlignment="1" applyBorder="1" applyFont="1">
      <alignment horizontal="left" shrinkToFit="0" vertical="center" wrapText="1"/>
    </xf>
    <xf borderId="18" fillId="0" fontId="3" numFmtId="0" xfId="0" applyAlignment="1" applyBorder="1" applyFont="1">
      <alignment shrinkToFit="0" vertical="center" wrapText="1"/>
    </xf>
    <xf borderId="18" fillId="0" fontId="1" numFmtId="0" xfId="0" applyAlignment="1" applyBorder="1" applyFont="1">
      <alignment readingOrder="0" vertical="center"/>
    </xf>
    <xf borderId="14" fillId="5" fontId="11" numFmtId="0" xfId="0" applyAlignment="1" applyBorder="1" applyFill="1" applyFont="1">
      <alignment horizontal="left" readingOrder="0" shrinkToFit="0" vertical="center" wrapText="1"/>
    </xf>
    <xf borderId="18" fillId="0" fontId="12" numFmtId="0" xfId="0" applyAlignment="1" applyBorder="1" applyFont="1">
      <alignment horizontal="center" readingOrder="0" shrinkToFit="0" vertical="center" wrapText="1"/>
    </xf>
    <xf borderId="14" fillId="6" fontId="13" numFmtId="0" xfId="0" applyAlignment="1" applyBorder="1" applyFill="1" applyFont="1">
      <alignment horizontal="left" readingOrder="0"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center" shrinkToFit="0" vertical="center" wrapText="1"/>
    </xf>
    <xf borderId="18" fillId="0" fontId="13" numFmtId="0" xfId="0" applyAlignment="1" applyBorder="1" applyFont="1">
      <alignment readingOrder="0" shrinkToFit="0" vertical="center" wrapText="1"/>
    </xf>
    <xf quotePrefix="1" borderId="18" fillId="0" fontId="3" numFmtId="0" xfId="0" applyAlignment="1" applyBorder="1" applyFont="1">
      <alignment readingOrder="0" shrinkToFit="0" vertical="center" wrapText="1"/>
    </xf>
    <xf borderId="18" fillId="0" fontId="12" numFmtId="0" xfId="0" applyAlignment="1" applyBorder="1" applyFont="1">
      <alignment readingOrder="0" shrinkToFit="0" vertical="center" wrapText="1"/>
    </xf>
    <xf quotePrefix="1" borderId="18" fillId="0" fontId="14" numFmtId="0" xfId="0" applyAlignment="1" applyBorder="1" applyFont="1">
      <alignment readingOrder="0" shrinkToFit="0" vertical="center" wrapText="1"/>
    </xf>
    <xf borderId="18" fillId="0" fontId="13" numFmtId="0" xfId="0" applyAlignment="1" applyBorder="1" applyFont="1">
      <alignment horizontal="center" readingOrder="0" shrinkToFit="0" vertical="center" wrapText="1"/>
    </xf>
    <xf borderId="18" fillId="0" fontId="12" numFmtId="0" xfId="0" applyAlignment="1" applyBorder="1" applyFont="1">
      <alignment horizontal="left" shrinkToFit="0" vertical="center" wrapText="1"/>
    </xf>
    <xf borderId="18" fillId="0" fontId="13" numFmtId="0" xfId="0" applyAlignment="1" applyBorder="1" applyFont="1">
      <alignment horizontal="center" shrinkToFit="0" vertical="center" wrapText="1"/>
    </xf>
    <xf borderId="18" fillId="0" fontId="12" numFmtId="0" xfId="0" applyAlignment="1" applyBorder="1" applyFont="1">
      <alignment shrinkToFit="0" vertical="center" wrapText="1"/>
    </xf>
    <xf borderId="0" fillId="0" fontId="12" numFmtId="0" xfId="0" applyAlignment="1" applyFont="1">
      <alignment shrinkToFit="0" vertical="center" wrapText="1"/>
    </xf>
    <xf borderId="18" fillId="0" fontId="13" numFmtId="0" xfId="0" applyAlignment="1" applyBorder="1" applyFont="1">
      <alignment readingOrder="0" shrinkToFit="0" vertical="center" wrapText="1"/>
    </xf>
    <xf borderId="18" fillId="0" fontId="14" numFmtId="0" xfId="0" applyAlignment="1" applyBorder="1" applyFont="1">
      <alignment readingOrder="0" shrinkToFit="0" vertical="center" wrapText="1"/>
    </xf>
    <xf borderId="18" fillId="0" fontId="15" numFmtId="0" xfId="0" applyAlignment="1" applyBorder="1" applyFont="1">
      <alignment readingOrder="0" shrinkToFit="0" vertical="center" wrapText="1"/>
    </xf>
    <xf borderId="18" fillId="0" fontId="1" numFmtId="0" xfId="0" applyAlignment="1" applyBorder="1" applyFont="1">
      <alignment vertical="center"/>
    </xf>
    <xf borderId="18" fillId="0" fontId="13" numFmtId="0" xfId="0" applyAlignment="1" applyBorder="1" applyFont="1">
      <alignment shrinkToFit="0" vertical="center" wrapText="1"/>
    </xf>
    <xf borderId="18" fillId="0" fontId="12" numFmtId="0" xfId="0" applyAlignment="1" applyBorder="1" applyFont="1">
      <alignment horizontal="left" readingOrder="0" shrinkToFit="0" vertical="center" wrapText="1"/>
    </xf>
    <xf borderId="18" fillId="0" fontId="1" numFmtId="0" xfId="0" applyAlignment="1" applyBorder="1" applyFont="1">
      <alignment readingOrder="0" shrinkToFit="0" vertical="center" wrapText="1"/>
    </xf>
    <xf borderId="18" fillId="0" fontId="1" numFmtId="0" xfId="0" applyAlignment="1" applyBorder="1" applyFont="1">
      <alignment vertical="center"/>
    </xf>
    <xf borderId="18" fillId="0" fontId="16" numFmtId="0" xfId="0" applyAlignment="1" applyBorder="1" applyFont="1">
      <alignment horizontal="left" readingOrder="0" shrinkToFit="0" vertical="center" wrapText="1"/>
    </xf>
    <xf borderId="18" fillId="0" fontId="3" numFmtId="0" xfId="0" applyAlignment="1" applyBorder="1" applyFont="1">
      <alignment horizontal="center" shrinkToFit="0" vertical="center" wrapText="1"/>
    </xf>
    <xf borderId="14" fillId="7" fontId="13" numFmtId="0" xfId="0" applyAlignment="1" applyBorder="1" applyFill="1" applyFont="1">
      <alignment horizontal="left" readingOrder="0" shrinkToFit="0" vertical="center" wrapText="1"/>
    </xf>
    <xf borderId="18" fillId="8" fontId="17" numFmtId="0" xfId="0" applyAlignment="1" applyBorder="1" applyFill="1" applyFont="1">
      <alignment shrinkToFit="0" vertical="center" wrapText="1"/>
    </xf>
    <xf borderId="18" fillId="0" fontId="12" numFmtId="0" xfId="0" applyAlignment="1" applyBorder="1" applyFont="1">
      <alignment horizontal="left" shrinkToFit="0" vertical="center" wrapText="1"/>
    </xf>
    <xf borderId="0" fillId="0" fontId="12" numFmtId="0" xfId="0" applyAlignment="1" applyFont="1">
      <alignment horizontal="left" shrinkToFit="0" vertical="center" wrapText="1"/>
    </xf>
    <xf borderId="18" fillId="2" fontId="12" numFmtId="0" xfId="0" applyAlignment="1" applyBorder="1" applyFont="1">
      <alignment horizontal="center" shrinkToFit="0" vertical="center" wrapText="1"/>
    </xf>
    <xf borderId="18" fillId="2" fontId="13" numFmtId="0" xfId="0" applyAlignment="1" applyBorder="1" applyFont="1">
      <alignment readingOrder="0" shrinkToFit="0" vertical="center" wrapText="1"/>
    </xf>
    <xf borderId="18" fillId="2" fontId="12" numFmtId="0" xfId="0" applyAlignment="1" applyBorder="1" applyFont="1">
      <alignment readingOrder="0" shrinkToFit="0" vertical="center" wrapText="1"/>
    </xf>
    <xf borderId="18" fillId="2" fontId="12" numFmtId="0" xfId="0" applyAlignment="1" applyBorder="1" applyFont="1">
      <alignment shrinkToFit="0" vertical="center" wrapText="1"/>
    </xf>
    <xf borderId="18" fillId="8" fontId="18" numFmtId="0" xfId="0" applyAlignment="1" applyBorder="1" applyFont="1">
      <alignment readingOrder="0" shrinkToFit="0" vertical="center" wrapText="1"/>
    </xf>
    <xf borderId="18" fillId="0" fontId="12" numFmtId="0" xfId="0" applyAlignment="1" applyBorder="1" applyFont="1">
      <alignment shrinkToFit="0" vertical="center" wrapText="1"/>
    </xf>
    <xf borderId="18" fillId="2" fontId="13" numFmtId="0" xfId="0" applyAlignment="1" applyBorder="1" applyFont="1">
      <alignment shrinkToFit="0" vertical="center" wrapText="1"/>
    </xf>
    <xf borderId="18" fillId="0" fontId="12" numFmtId="0" xfId="0" applyAlignment="1" applyBorder="1" applyFont="1">
      <alignment horizontal="left" readingOrder="0" shrinkToFit="0" vertical="center" wrapText="1"/>
    </xf>
    <xf borderId="18" fillId="0" fontId="13" numFmtId="0" xfId="0" applyAlignment="1" applyBorder="1" applyFont="1">
      <alignment shrinkToFit="0" vertical="center" wrapText="1"/>
    </xf>
    <xf borderId="18" fillId="2" fontId="13" numFmtId="0" xfId="0" applyAlignment="1" applyBorder="1" applyFont="1">
      <alignment shrinkToFit="0" vertical="center" wrapText="1"/>
    </xf>
    <xf borderId="18" fillId="0" fontId="16" numFmtId="0" xfId="0" applyAlignment="1" applyBorder="1" applyFont="1">
      <alignment horizontal="left" shrinkToFit="0" vertical="center" wrapText="1"/>
    </xf>
    <xf borderId="18" fillId="0" fontId="16" numFmtId="0" xfId="0" applyAlignment="1" applyBorder="1" applyFont="1">
      <alignment horizontal="center" shrinkToFit="0" vertical="center" wrapText="1"/>
    </xf>
    <xf borderId="18" fillId="0" fontId="16" numFmtId="0" xfId="0" applyAlignment="1" applyBorder="1" applyFont="1">
      <alignment shrinkToFit="0" vertical="center" wrapText="1"/>
    </xf>
    <xf borderId="0" fillId="0" fontId="16" numFmtId="0" xfId="0" applyAlignment="1" applyFont="1">
      <alignment shrinkToFit="0" vertical="center" wrapText="1"/>
    </xf>
    <xf borderId="18" fillId="0" fontId="16" numFmtId="0" xfId="0" applyAlignment="1" applyBorder="1" applyFont="1">
      <alignment horizontal="center" readingOrder="0" shrinkToFit="0" vertical="center" wrapText="1"/>
    </xf>
    <xf borderId="18" fillId="2" fontId="16" numFmtId="0" xfId="0" applyAlignment="1" applyBorder="1" applyFont="1">
      <alignment horizontal="center" shrinkToFit="0" vertical="center" wrapText="1"/>
    </xf>
    <xf borderId="18" fillId="2" fontId="16" numFmtId="0" xfId="0" applyAlignment="1" applyBorder="1" applyFont="1">
      <alignment shrinkToFit="0" vertical="center" wrapText="1"/>
    </xf>
    <xf borderId="18" fillId="2" fontId="13" numFmtId="0" xfId="0" applyAlignment="1" applyBorder="1" applyFont="1">
      <alignment horizontal="center" readingOrder="0" shrinkToFit="0" vertical="center" wrapText="1"/>
    </xf>
    <xf borderId="0" fillId="2" fontId="16" numFmtId="0" xfId="0" applyAlignment="1" applyFont="1">
      <alignment shrinkToFit="0" vertical="center" wrapText="1"/>
    </xf>
    <xf borderId="18" fillId="2" fontId="16" numFmtId="0" xfId="0" applyAlignment="1" applyBorder="1" applyFont="1">
      <alignment horizontal="left" shrinkToFit="0" vertical="center" wrapText="1"/>
    </xf>
    <xf borderId="18" fillId="0" fontId="13" numFmtId="0" xfId="0" applyAlignment="1" applyBorder="1" applyFont="1">
      <alignment horizontal="left" readingOrder="0" shrinkToFit="0" vertical="center" wrapText="1"/>
    </xf>
    <xf borderId="0" fillId="0" fontId="16" numFmtId="0" xfId="0" applyAlignment="1" applyFont="1">
      <alignment horizontal="left" readingOrder="0" shrinkToFit="0" vertical="center" wrapText="1"/>
    </xf>
    <xf borderId="18" fillId="0" fontId="16" numFmtId="0" xfId="0" applyAlignment="1" applyBorder="1" applyFont="1">
      <alignment readingOrder="0" shrinkToFit="0" vertical="center" wrapText="1"/>
    </xf>
    <xf borderId="0" fillId="0" fontId="16" numFmtId="0" xfId="0" applyAlignment="1" applyFont="1">
      <alignment readingOrder="0" shrinkToFit="0" vertical="center" wrapText="1"/>
    </xf>
    <xf borderId="18" fillId="0" fontId="12" numFmtId="0" xfId="0" applyAlignment="1" applyBorder="1" applyFont="1">
      <alignment horizontal="center" readingOrder="0" shrinkToFit="0" vertical="center" wrapText="1"/>
    </xf>
    <xf borderId="18" fillId="2" fontId="16" numFmtId="0" xfId="0" applyAlignment="1" applyBorder="1" applyFont="1">
      <alignment horizontal="left" readingOrder="0" shrinkToFit="0" vertical="center" wrapText="1"/>
    </xf>
    <xf borderId="18" fillId="2" fontId="12" numFmtId="0" xfId="0" applyAlignment="1" applyBorder="1" applyFont="1">
      <alignment horizontal="center" readingOrder="0" shrinkToFit="0" vertical="center" wrapText="1"/>
    </xf>
    <xf borderId="0" fillId="0" fontId="16" numFmtId="0" xfId="0" applyAlignment="1" applyFont="1">
      <alignment horizontal="left" shrinkToFit="0" vertical="center" wrapText="1"/>
    </xf>
    <xf borderId="18" fillId="2" fontId="12" numFmtId="0" xfId="0" applyAlignment="1" applyBorder="1" applyFont="1">
      <alignment horizontal="center" readingOrder="0" shrinkToFit="0" vertical="center" wrapText="1"/>
    </xf>
    <xf borderId="18" fillId="0" fontId="12" numFmtId="0" xfId="0" applyAlignment="1" applyBorder="1" applyFont="1">
      <alignment readingOrder="0" shrinkToFit="0" vertical="center" wrapText="1"/>
    </xf>
    <xf borderId="18" fillId="2" fontId="12" numFmtId="0" xfId="0" applyAlignment="1" applyBorder="1" applyFont="1">
      <alignment horizontal="center" shrinkToFit="0" vertical="center" wrapText="1"/>
    </xf>
    <xf borderId="18" fillId="0" fontId="3" numFmtId="0" xfId="0" applyAlignment="1" applyBorder="1" applyFont="1">
      <alignment horizontal="left" shrinkToFit="0" vertical="center" wrapText="1"/>
    </xf>
    <xf borderId="0" fillId="0" fontId="3" numFmtId="0" xfId="0" applyAlignment="1" applyFont="1">
      <alignment horizontal="left" shrinkToFit="0" vertical="center" wrapText="1"/>
    </xf>
    <xf borderId="18" fillId="0" fontId="3" numFmtId="0" xfId="0" applyAlignment="1" applyBorder="1" applyFont="1">
      <alignment readingOrder="0" shrinkToFit="0" vertical="center" wrapText="1"/>
    </xf>
    <xf borderId="19" fillId="2" fontId="12" numFmtId="0" xfId="0" applyAlignment="1" applyBorder="1" applyFont="1">
      <alignment shrinkToFit="0" vertical="center" wrapText="1"/>
    </xf>
    <xf borderId="16" fillId="0" fontId="13" numFmtId="0" xfId="0" applyAlignment="1" applyBorder="1" applyFont="1">
      <alignment shrinkToFit="0" vertical="center" wrapText="1"/>
    </xf>
    <xf borderId="16" fillId="0" fontId="12" numFmtId="0" xfId="0" applyAlignment="1" applyBorder="1" applyFont="1">
      <alignment shrinkToFit="0" vertical="center" wrapText="1"/>
    </xf>
    <xf borderId="13" fillId="0" fontId="12" numFmtId="0" xfId="0" applyAlignment="1" applyBorder="1" applyFont="1">
      <alignment horizontal="center" shrinkToFit="0" vertical="center" wrapText="1"/>
    </xf>
    <xf borderId="13" fillId="0" fontId="13" numFmtId="0" xfId="0" applyAlignment="1" applyBorder="1" applyFont="1">
      <alignment shrinkToFit="0" vertical="center" wrapText="1"/>
    </xf>
    <xf borderId="16" fillId="0" fontId="12" numFmtId="0" xfId="0" applyAlignment="1" applyBorder="1" applyFont="1">
      <alignment readingOrder="0" shrinkToFit="0" vertical="center" wrapText="1"/>
    </xf>
    <xf borderId="13" fillId="0" fontId="12" numFmtId="0" xfId="0" applyAlignment="1" applyBorder="1" applyFont="1">
      <alignment shrinkToFit="0" vertical="center" wrapText="1"/>
    </xf>
    <xf borderId="16" fillId="0" fontId="12" numFmtId="0" xfId="0" applyAlignment="1" applyBorder="1" applyFont="1">
      <alignment horizontal="center" shrinkToFit="0" vertical="center" wrapText="1"/>
    </xf>
    <xf borderId="20" fillId="2" fontId="13" numFmtId="0" xfId="0" applyAlignment="1" applyBorder="1" applyFont="1">
      <alignment shrinkToFit="0" vertical="center" wrapText="1"/>
    </xf>
    <xf borderId="18" fillId="0" fontId="19" numFmtId="0" xfId="0" applyAlignment="1" applyBorder="1" applyFont="1">
      <alignment horizontal="center" readingOrder="0" shrinkToFit="0" vertical="center" wrapText="1"/>
    </xf>
    <xf borderId="18" fillId="0" fontId="20" numFmtId="0" xfId="0" applyAlignment="1" applyBorder="1" applyFont="1">
      <alignment horizontal="center" readingOrder="0" shrinkToFit="0" vertical="center" wrapText="1"/>
    </xf>
    <xf borderId="18" fillId="0" fontId="20" numFmtId="0" xfId="0" applyAlignment="1" applyBorder="1" applyFont="1">
      <alignment horizontal="center" shrinkToFit="0" vertical="center" wrapText="1"/>
    </xf>
    <xf borderId="18" fillId="0" fontId="20" numFmtId="0" xfId="0" applyAlignment="1" applyBorder="1" applyFont="1">
      <alignment shrinkToFit="0" vertical="center" wrapText="1"/>
    </xf>
    <xf borderId="0" fillId="0" fontId="20" numFmtId="0" xfId="0" applyAlignment="1" applyFont="1">
      <alignment shrinkToFit="0" vertical="center" wrapText="1"/>
    </xf>
    <xf borderId="13" fillId="0" fontId="12" numFmtId="0" xfId="0" applyAlignment="1" applyBorder="1" applyFont="1">
      <alignment readingOrder="0" shrinkToFit="0" vertical="center" wrapText="1"/>
    </xf>
    <xf borderId="20" fillId="2" fontId="12" numFmtId="0" xfId="0" applyAlignment="1" applyBorder="1" applyFont="1">
      <alignment horizontal="center" shrinkToFit="0" vertical="center" wrapText="1"/>
    </xf>
    <xf borderId="18" fillId="2" fontId="16" numFmtId="0" xfId="0" applyAlignment="1" applyBorder="1" applyFont="1">
      <alignment horizontal="center" readingOrder="0" shrinkToFit="0" vertical="center" wrapText="1"/>
    </xf>
    <xf borderId="18" fillId="2" fontId="20" numFmtId="0" xfId="0" applyAlignment="1" applyBorder="1" applyFont="1">
      <alignment horizontal="center" shrinkToFit="0" vertical="center" wrapText="1"/>
    </xf>
    <xf borderId="18" fillId="2" fontId="20" numFmtId="0" xfId="0" applyAlignment="1" applyBorder="1" applyFont="1">
      <alignment shrinkToFit="0" vertical="center" wrapText="1"/>
    </xf>
    <xf borderId="18" fillId="2" fontId="19" numFmtId="0" xfId="0" applyAlignment="1" applyBorder="1" applyFont="1">
      <alignment horizontal="center" readingOrder="0" shrinkToFit="0" vertical="center" wrapText="1"/>
    </xf>
    <xf borderId="0" fillId="2" fontId="20" numFmtId="0" xfId="0" applyAlignment="1" applyFont="1">
      <alignment shrinkToFit="0" vertical="center" wrapText="1"/>
    </xf>
    <xf borderId="18" fillId="0" fontId="20" numFmtId="0" xfId="0" applyAlignment="1" applyBorder="1" applyFont="1">
      <alignment horizontal="left" shrinkToFit="0" vertical="center" wrapText="1"/>
    </xf>
    <xf borderId="18" fillId="0" fontId="19" numFmtId="0" xfId="0" applyAlignment="1" applyBorder="1" applyFont="1">
      <alignment horizontal="left" readingOrder="0" shrinkToFit="0" vertical="center" wrapText="1"/>
    </xf>
    <xf borderId="18" fillId="0" fontId="20" numFmtId="0" xfId="0" applyAlignment="1" applyBorder="1" applyFont="1">
      <alignment horizontal="left" readingOrder="0" shrinkToFit="0" vertical="center" wrapText="1"/>
    </xf>
    <xf borderId="18" fillId="2" fontId="20" numFmtId="0" xfId="0" applyAlignment="1" applyBorder="1" applyFont="1">
      <alignment horizontal="left" shrinkToFit="0" vertical="center" wrapText="1"/>
    </xf>
    <xf borderId="18" fillId="2" fontId="19" numFmtId="0" xfId="0" applyAlignment="1" applyBorder="1" applyFont="1">
      <alignment horizontal="left" readingOrder="0" shrinkToFit="0" vertical="center" wrapText="1"/>
    </xf>
    <xf borderId="0" fillId="2" fontId="20" numFmtId="0" xfId="0" applyAlignment="1" applyFont="1">
      <alignment horizontal="left" shrinkToFit="0" vertical="center" wrapText="1"/>
    </xf>
    <xf borderId="20" fillId="2" fontId="12" numFmtId="0" xfId="0" applyAlignment="1" applyBorder="1" applyFont="1">
      <alignment horizontal="center" readingOrder="0" shrinkToFit="0" vertical="center" wrapText="1"/>
    </xf>
    <xf borderId="21" fillId="0" fontId="12" numFmtId="0" xfId="0" applyAlignment="1" applyBorder="1" applyFont="1">
      <alignment readingOrder="0" shrinkToFit="0" vertical="center" wrapText="1"/>
    </xf>
    <xf borderId="22" fillId="0" fontId="12" numFmtId="0" xfId="0" applyAlignment="1" applyBorder="1" applyFont="1">
      <alignment shrinkToFit="0" vertical="center" wrapText="1"/>
    </xf>
    <xf borderId="18" fillId="0" fontId="19" numFmtId="0" xfId="0" applyAlignment="1" applyBorder="1" applyFont="1">
      <alignment horizontal="center" shrinkToFit="0" vertical="center" wrapText="1"/>
    </xf>
    <xf borderId="23" fillId="2" fontId="12" numFmtId="0" xfId="0" applyAlignment="1" applyBorder="1" applyFont="1">
      <alignment horizontal="center" shrinkToFit="0" vertical="center" wrapText="1"/>
    </xf>
    <xf borderId="18" fillId="0" fontId="19" numFmtId="0" xfId="0" applyAlignment="1" applyBorder="1" applyFont="1">
      <alignment horizontal="left" shrinkToFit="0" vertical="center" wrapText="1"/>
    </xf>
    <xf borderId="0" fillId="0" fontId="20" numFmtId="0" xfId="0" applyAlignment="1" applyFont="1">
      <alignment horizontal="left" shrinkToFit="0" vertical="center" wrapText="1"/>
    </xf>
    <xf borderId="18" fillId="0" fontId="10" numFmtId="0" xfId="0" applyAlignment="1" applyBorder="1" applyFont="1">
      <alignment horizontal="center" readingOrder="0" shrinkToFit="0" vertical="center" wrapText="1"/>
    </xf>
    <xf borderId="18" fillId="8" fontId="17" numFmtId="0" xfId="0" applyAlignment="1" applyBorder="1" applyFont="1">
      <alignment readingOrder="0" shrinkToFit="0" vertical="center" wrapText="1"/>
    </xf>
    <xf borderId="20" fillId="2" fontId="12" numFmtId="0" xfId="0" applyAlignment="1" applyBorder="1" applyFont="1">
      <alignment readingOrder="0" shrinkToFit="0" vertical="center" wrapText="1"/>
    </xf>
    <xf borderId="20" fillId="2" fontId="13" numFmtId="0" xfId="0" applyAlignment="1" applyBorder="1" applyFont="1">
      <alignment readingOrder="0" shrinkToFit="0" vertical="center" wrapText="1"/>
    </xf>
    <xf borderId="20" fillId="2" fontId="12" numFmtId="0" xfId="0" applyAlignment="1" applyBorder="1" applyFont="1">
      <alignment shrinkToFit="0" vertical="center" wrapText="1"/>
    </xf>
    <xf quotePrefix="1" borderId="18" fillId="2" fontId="12" numFmtId="0" xfId="0" applyAlignment="1" applyBorder="1" applyFont="1">
      <alignment readingOrder="0" shrinkToFit="0" vertical="center" wrapText="1"/>
    </xf>
    <xf borderId="14" fillId="9" fontId="13" numFmtId="0" xfId="0" applyAlignment="1" applyBorder="1" applyFill="1" applyFont="1">
      <alignment horizontal="left" readingOrder="0" shrinkToFit="0" vertical="center" wrapText="1"/>
    </xf>
    <xf borderId="18" fillId="0" fontId="21" numFmtId="0" xfId="0" applyAlignment="1" applyBorder="1" applyFont="1">
      <alignment horizontal="center" shrinkToFit="0" vertical="center" wrapText="1"/>
    </xf>
    <xf borderId="18" fillId="0" fontId="22" numFmtId="0" xfId="0" applyAlignment="1" applyBorder="1" applyFont="1">
      <alignment shrinkToFit="0" vertical="center" wrapText="1"/>
    </xf>
    <xf borderId="18" fillId="0" fontId="21" numFmtId="0" xfId="0" applyAlignment="1" applyBorder="1" applyFont="1">
      <alignment readingOrder="0" shrinkToFit="0" vertical="center" wrapText="1"/>
    </xf>
    <xf borderId="19" fillId="2" fontId="21" numFmtId="0" xfId="0" applyAlignment="1" applyBorder="1" applyFont="1">
      <alignment shrinkToFit="0" vertical="center" wrapText="1"/>
    </xf>
    <xf borderId="18" fillId="0" fontId="22" numFmtId="0" xfId="0" applyAlignment="1" applyBorder="1" applyFont="1">
      <alignment readingOrder="0" shrinkToFit="0" vertical="center" wrapText="1"/>
    </xf>
    <xf borderId="18" fillId="0" fontId="21" numFmtId="0" xfId="0" applyAlignment="1" applyBorder="1" applyFont="1">
      <alignment horizontal="center" shrinkToFit="0" vertical="center" wrapText="1"/>
    </xf>
    <xf borderId="19" fillId="2" fontId="21" numFmtId="0" xfId="0" applyAlignment="1" applyBorder="1" applyFont="1">
      <alignment readingOrder="0" shrinkToFit="0" vertical="center" wrapText="1"/>
    </xf>
    <xf quotePrefix="1" borderId="19" fillId="2" fontId="21" numFmtId="0" xfId="0" applyAlignment="1" applyBorder="1" applyFont="1">
      <alignment shrinkToFit="0" vertical="center" wrapText="1"/>
    </xf>
    <xf borderId="18" fillId="2" fontId="21" numFmtId="0" xfId="0" applyAlignment="1" applyBorder="1" applyFont="1">
      <alignment readingOrder="0" shrinkToFit="0" vertical="center" wrapText="1"/>
    </xf>
    <xf borderId="18" fillId="2" fontId="22" numFmtId="0" xfId="0" applyAlignment="1" applyBorder="1" applyFont="1">
      <alignment readingOrder="0" shrinkToFit="0" vertical="center" wrapText="1"/>
    </xf>
    <xf quotePrefix="1" borderId="18" fillId="2" fontId="21" numFmtId="0" xfId="0" applyAlignment="1" applyBorder="1" applyFont="1">
      <alignment readingOrder="0" shrinkToFit="0" vertical="center" wrapText="1"/>
    </xf>
    <xf borderId="18" fillId="0" fontId="23" numFmtId="0" xfId="0" applyBorder="1" applyFont="1"/>
    <xf quotePrefix="1" borderId="18" fillId="0" fontId="12" numFmtId="0" xfId="0" applyAlignment="1" applyBorder="1" applyFont="1">
      <alignment readingOrder="0" shrinkToFit="0" vertical="center" wrapText="1"/>
    </xf>
    <xf borderId="16" fillId="0" fontId="3" numFmtId="0" xfId="0" applyAlignment="1" applyBorder="1" applyFont="1">
      <alignment horizontal="center" shrinkToFit="0" vertical="center" wrapText="1"/>
    </xf>
    <xf quotePrefix="1" borderId="18" fillId="0" fontId="21" numFmtId="0" xfId="0" applyAlignment="1" applyBorder="1" applyFont="1">
      <alignment readingOrder="0" shrinkToFit="0" vertical="center" wrapText="1"/>
    </xf>
    <xf borderId="18" fillId="2" fontId="21" numFmtId="0" xfId="0" applyAlignment="1" applyBorder="1" applyFont="1">
      <alignment shrinkToFit="0" vertical="center" wrapText="1"/>
    </xf>
    <xf borderId="18" fillId="0" fontId="12" numFmtId="0" xfId="0" applyAlignment="1" applyBorder="1" applyFont="1">
      <alignment horizontal="center" readingOrder="0" vertical="center"/>
    </xf>
    <xf borderId="18" fillId="2" fontId="22" numFmtId="0" xfId="0" applyAlignment="1" applyBorder="1" applyFont="1">
      <alignment shrinkToFit="0" vertical="center" wrapText="1"/>
    </xf>
    <xf borderId="18" fillId="0" fontId="2" numFmtId="0" xfId="0" applyAlignment="1" applyBorder="1" applyFont="1">
      <alignment readingOrder="0" shrinkToFit="0" vertical="center" wrapText="1"/>
    </xf>
    <xf borderId="18" fillId="0" fontId="21" numFmtId="0" xfId="0" applyAlignment="1" applyBorder="1" applyFont="1">
      <alignment shrinkToFit="0" vertical="center" wrapText="1"/>
    </xf>
    <xf borderId="16" fillId="0" fontId="3" numFmtId="0" xfId="0" applyAlignment="1" applyBorder="1" applyFont="1">
      <alignment horizontal="center" readingOrder="0" shrinkToFit="0" vertical="center" wrapText="1"/>
    </xf>
    <xf borderId="18" fillId="4" fontId="22" numFmtId="0" xfId="0" applyAlignment="1" applyBorder="1" applyFont="1">
      <alignment shrinkToFit="0" vertical="center" wrapText="1"/>
    </xf>
    <xf borderId="18" fillId="4" fontId="22" numFmtId="0" xfId="0" applyAlignment="1" applyBorder="1" applyFont="1">
      <alignment readingOrder="0" shrinkToFit="0" vertical="center" wrapText="1"/>
    </xf>
    <xf borderId="18" fillId="2" fontId="22" numFmtId="0" xfId="0" applyAlignment="1" applyBorder="1" applyFont="1">
      <alignment horizontal="left" readingOrder="0" shrinkToFit="0" vertical="center" wrapText="1"/>
    </xf>
    <xf borderId="16" fillId="2" fontId="21" numFmtId="0" xfId="0" applyAlignment="1" applyBorder="1" applyFont="1">
      <alignment horizontal="left" shrinkToFit="0" vertical="center" wrapText="1"/>
    </xf>
    <xf borderId="16" fillId="0" fontId="21" numFmtId="0" xfId="0" applyAlignment="1" applyBorder="1" applyFont="1">
      <alignment horizontal="left" readingOrder="0" shrinkToFit="0" vertical="center" wrapText="1"/>
    </xf>
    <xf borderId="16" fillId="2" fontId="21" numFmtId="0" xfId="0" applyAlignment="1" applyBorder="1" applyFont="1">
      <alignment horizontal="left" readingOrder="0" shrinkToFit="0" vertical="center" wrapText="1"/>
    </xf>
    <xf borderId="17" fillId="2" fontId="22" numFmtId="0" xfId="0" applyAlignment="1" applyBorder="1" applyFont="1">
      <alignment horizontal="left" readingOrder="0" shrinkToFit="0" vertical="center" wrapText="1"/>
    </xf>
    <xf borderId="13" fillId="2" fontId="21" numFmtId="0" xfId="0" applyAlignment="1" applyBorder="1" applyFont="1">
      <alignment horizontal="left" shrinkToFit="0" vertical="center" wrapText="1"/>
    </xf>
    <xf borderId="13" fillId="2" fontId="21" numFmtId="0" xfId="0" applyAlignment="1" applyBorder="1" applyFont="1">
      <alignment horizontal="left" readingOrder="0" shrinkToFit="0" vertical="center" wrapText="1"/>
    </xf>
    <xf borderId="18" fillId="0" fontId="22" numFmtId="0" xfId="0" applyAlignment="1" applyBorder="1" applyFont="1">
      <alignment shrinkToFit="0" vertical="center" wrapText="1"/>
    </xf>
    <xf borderId="18" fillId="0" fontId="7" numFmtId="0" xfId="0" applyAlignment="1" applyBorder="1" applyFont="1">
      <alignment shrinkToFit="0" vertical="center" wrapText="1"/>
    </xf>
    <xf borderId="18" fillId="0" fontId="7" numFmtId="0" xfId="0" applyAlignment="1" applyBorder="1" applyFont="1">
      <alignment readingOrder="0" shrinkToFit="0" vertical="center" wrapText="1"/>
    </xf>
    <xf borderId="18" fillId="0" fontId="7" numFmtId="0" xfId="0" applyAlignment="1" applyBorder="1" applyFont="1">
      <alignment shrinkToFit="0" vertical="center" wrapText="1"/>
    </xf>
    <xf borderId="18" fillId="0" fontId="7" numFmtId="0" xfId="0" applyAlignment="1" applyBorder="1" applyFont="1">
      <alignment horizontal="center" readingOrder="0" shrinkToFit="0" vertical="center" wrapText="1"/>
    </xf>
    <xf borderId="18" fillId="0" fontId="2" numFmtId="0" xfId="0" applyAlignment="1" applyBorder="1" applyFont="1">
      <alignment horizontal="center" readingOrder="0" shrinkToFit="0" vertical="center" wrapText="1"/>
    </xf>
    <xf borderId="18" fillId="0" fontId="2" numFmtId="0" xfId="0" applyAlignment="1" applyBorder="1" applyFont="1">
      <alignment horizontal="center" shrinkToFit="0" vertical="center" wrapText="1"/>
    </xf>
    <xf borderId="18" fillId="0" fontId="8" numFmtId="0" xfId="0" applyAlignment="1" applyBorder="1" applyFont="1">
      <alignment horizontal="center" shrinkToFit="0" vertical="center" wrapText="1"/>
    </xf>
    <xf borderId="18" fillId="0" fontId="7" numFmtId="0" xfId="0" applyAlignment="1" applyBorder="1" applyFont="1">
      <alignment horizontal="center" shrinkToFit="0" vertical="center" wrapText="1"/>
    </xf>
    <xf borderId="18" fillId="0" fontId="2" numFmtId="0" xfId="0" applyAlignment="1" applyBorder="1" applyFont="1">
      <alignment horizontal="left" shrinkToFit="0" vertical="center" wrapText="1"/>
    </xf>
    <xf borderId="18" fillId="0" fontId="2" numFmtId="0" xfId="0" applyAlignment="1" applyBorder="1" applyFont="1">
      <alignment shrinkToFit="0" vertical="center" wrapText="1"/>
    </xf>
  </cellXfs>
  <cellStyles count="1">
    <cellStyle xfId="0" name="Normal" builtinId="0"/>
  </cellStyles>
  <dxfs count="8">
    <dxf>
      <font>
        <b/>
        <color rgb="FFFFFFFF"/>
      </font>
      <fill>
        <patternFill patternType="solid">
          <fgColor rgb="FF808080"/>
          <bgColor rgb="FF808080"/>
        </patternFill>
      </fill>
      <border/>
    </dxf>
    <dxf>
      <font>
        <b/>
        <color rgb="FFFFFFFF"/>
      </font>
      <fill>
        <patternFill patternType="solid">
          <fgColor rgb="FFFF0000"/>
          <bgColor rgb="FFFF0000"/>
        </patternFill>
      </fill>
      <border/>
    </dxf>
    <dxf>
      <font>
        <b/>
        <color rgb="FFFFFFFF"/>
      </font>
      <fill>
        <patternFill patternType="solid">
          <fgColor rgb="FF6FAC46"/>
          <bgColor rgb="FF6FAC46"/>
        </patternFill>
      </fill>
      <border/>
    </dxf>
    <dxf>
      <font/>
      <fill>
        <patternFill patternType="solid">
          <fgColor rgb="FFFFE699"/>
          <bgColor rgb="FFFFE699"/>
        </patternFill>
      </fill>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fill>
        <patternFill patternType="solid">
          <fgColor rgb="FFFFE699"/>
          <bgColor rgb="FFFFE699"/>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104775</xdr:rowOff>
    </xdr:from>
    <xdr:ext cx="1752600"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ging.tongdaiwifi.vn/" TargetMode="External"/><Relationship Id="rId2" Type="http://schemas.openxmlformats.org/officeDocument/2006/relationships/hyperlink" Target="https://staging.tongdaiwifi.vn/" TargetMode="External"/><Relationship Id="rId3" Type="http://schemas.openxmlformats.org/officeDocument/2006/relationships/hyperlink" Target="http://tongdaiwifi.vn/" TargetMode="External"/><Relationship Id="rId4" Type="http://schemas.openxmlformats.org/officeDocument/2006/relationships/hyperlink" Target="https://staging.tongdaiwifi.vn/"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75" outlineLevelRow="1"/>
  <cols>
    <col customWidth="1" hidden="1" min="1" max="1" width="11.38"/>
    <col customWidth="1" min="2" max="2" width="11.38"/>
    <col customWidth="1" min="3" max="3" width="10.88"/>
    <col customWidth="1" min="4" max="4" width="35.5"/>
    <col customWidth="1" min="5" max="5" width="27.63"/>
    <col customWidth="1" min="6" max="6" width="40.38"/>
    <col customWidth="1" min="7" max="7" width="53.38"/>
    <col customWidth="1" min="8" max="8" width="8.38"/>
    <col customWidth="1" min="9" max="9" width="10.75"/>
    <col customWidth="1" min="10" max="10" width="13.5"/>
    <col customWidth="1" min="11" max="11" width="14.88"/>
    <col customWidth="1" min="12" max="89" width="8.38"/>
  </cols>
  <sheetData>
    <row r="1" outlineLevel="1">
      <c r="A1" s="1"/>
      <c r="B1" s="2"/>
      <c r="C1" s="3"/>
      <c r="D1" s="4"/>
      <c r="E1" s="5"/>
      <c r="F1" s="6"/>
      <c r="G1" s="7"/>
      <c r="H1" s="3"/>
      <c r="I1" s="8"/>
      <c r="J1" s="8"/>
      <c r="K1" s="9"/>
      <c r="L1" s="3"/>
      <c r="M1" s="8"/>
      <c r="N1" s="8"/>
      <c r="O1" s="9"/>
      <c r="P1" s="3"/>
      <c r="Q1" s="8"/>
      <c r="R1" s="8"/>
      <c r="S1" s="9"/>
      <c r="T1" s="3"/>
      <c r="U1" s="8"/>
      <c r="V1" s="8"/>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row>
    <row r="2" outlineLevel="1">
      <c r="A2" s="1"/>
      <c r="B2" s="10"/>
      <c r="C2" s="11"/>
      <c r="D2" s="12"/>
      <c r="E2" s="12"/>
      <c r="F2" s="12"/>
      <c r="G2" s="13"/>
      <c r="H2" s="3"/>
      <c r="I2" s="8"/>
      <c r="J2" s="8"/>
      <c r="K2" s="9"/>
      <c r="L2" s="3"/>
      <c r="M2" s="8"/>
      <c r="N2" s="8"/>
      <c r="O2" s="9"/>
      <c r="P2" s="3"/>
      <c r="Q2" s="8"/>
      <c r="R2" s="8"/>
      <c r="S2" s="9"/>
      <c r="T2" s="3"/>
      <c r="U2" s="8"/>
      <c r="V2" s="8"/>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row>
    <row r="3" outlineLevel="1">
      <c r="A3" s="14"/>
      <c r="B3" s="15" t="s">
        <v>0</v>
      </c>
      <c r="C3" s="16"/>
      <c r="D3" s="17" t="s">
        <v>1</v>
      </c>
      <c r="E3" s="16"/>
      <c r="F3" s="18"/>
      <c r="G3" s="19"/>
      <c r="H3" s="3"/>
      <c r="I3" s="8"/>
      <c r="J3" s="8"/>
      <c r="K3" s="9"/>
      <c r="L3" s="3"/>
      <c r="M3" s="8"/>
      <c r="N3" s="8"/>
      <c r="O3" s="18"/>
      <c r="P3" s="3"/>
      <c r="Q3" s="8"/>
      <c r="R3" s="8"/>
      <c r="S3" s="18"/>
      <c r="T3" s="3"/>
      <c r="U3" s="8"/>
      <c r="V3" s="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row>
    <row r="4" outlineLevel="1">
      <c r="A4" s="14"/>
      <c r="B4" s="15" t="s">
        <v>2</v>
      </c>
      <c r="C4" s="16"/>
      <c r="D4" s="17" t="s">
        <v>3</v>
      </c>
      <c r="E4" s="16"/>
      <c r="F4" s="18"/>
      <c r="G4" s="19"/>
      <c r="H4" s="3"/>
      <c r="I4" s="8"/>
      <c r="J4" s="8"/>
      <c r="K4" s="9"/>
      <c r="L4" s="3"/>
      <c r="M4" s="8"/>
      <c r="N4" s="8"/>
      <c r="O4" s="18"/>
      <c r="P4" s="3"/>
      <c r="Q4" s="8"/>
      <c r="R4" s="8"/>
      <c r="S4" s="18"/>
      <c r="T4" s="3"/>
      <c r="U4" s="8"/>
      <c r="V4" s="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row>
    <row r="5" outlineLevel="1">
      <c r="A5" s="1"/>
      <c r="B5" s="20"/>
      <c r="C5" s="20"/>
      <c r="D5" s="21"/>
      <c r="E5" s="21"/>
      <c r="F5" s="22"/>
      <c r="G5" s="23"/>
      <c r="H5" s="3"/>
      <c r="I5" s="8"/>
      <c r="J5" s="8"/>
      <c r="K5" s="9"/>
      <c r="L5" s="3"/>
      <c r="M5" s="8"/>
      <c r="N5" s="8"/>
      <c r="O5" s="9"/>
      <c r="P5" s="3"/>
      <c r="Q5" s="8"/>
      <c r="R5" s="8"/>
      <c r="S5" s="9"/>
      <c r="T5" s="3"/>
      <c r="U5" s="8"/>
      <c r="V5" s="8"/>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row>
    <row r="6" outlineLevel="1">
      <c r="A6" s="1"/>
      <c r="B6" s="24"/>
      <c r="C6" s="24"/>
      <c r="D6" s="25"/>
      <c r="E6" s="25"/>
      <c r="F6" s="26"/>
      <c r="G6" s="23"/>
      <c r="H6" s="3"/>
      <c r="I6" s="8"/>
      <c r="J6" s="8"/>
      <c r="K6" s="9"/>
      <c r="L6" s="3"/>
      <c r="M6" s="8"/>
      <c r="N6" s="8"/>
      <c r="O6" s="9"/>
      <c r="P6" s="3"/>
      <c r="Q6" s="8"/>
      <c r="R6" s="8"/>
      <c r="S6" s="9"/>
      <c r="T6" s="3"/>
      <c r="U6" s="8"/>
      <c r="V6" s="8"/>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row>
    <row r="7">
      <c r="A7" s="27" t="s">
        <v>4</v>
      </c>
      <c r="B7" s="28" t="s">
        <v>5</v>
      </c>
      <c r="C7" s="28" t="s">
        <v>6</v>
      </c>
      <c r="D7" s="29" t="s">
        <v>7</v>
      </c>
      <c r="E7" s="29" t="s">
        <v>8</v>
      </c>
      <c r="F7" s="29" t="s">
        <v>9</v>
      </c>
      <c r="G7" s="30" t="s">
        <v>10</v>
      </c>
      <c r="H7" s="31" t="str">
        <f>Summary!G8</f>
        <v>#REF!</v>
      </c>
      <c r="I7" s="32"/>
      <c r="J7" s="32"/>
      <c r="K7" s="33"/>
      <c r="L7" s="31" t="str">
        <f>Summary!J8</f>
        <v>#REF!</v>
      </c>
      <c r="M7" s="32"/>
      <c r="N7" s="32"/>
      <c r="O7" s="33"/>
      <c r="P7" s="34" t="str">
        <f>Summary!O8</f>
        <v>#REF!</v>
      </c>
      <c r="Q7" s="35"/>
      <c r="R7" s="35"/>
      <c r="S7" s="36"/>
      <c r="T7" s="34" t="str">
        <f>Summary!T8</f>
        <v>#REF!</v>
      </c>
      <c r="U7" s="35"/>
      <c r="V7" s="35"/>
      <c r="W7" s="36"/>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row>
    <row r="8">
      <c r="A8" s="38"/>
      <c r="B8" s="38"/>
      <c r="C8" s="38"/>
      <c r="D8" s="38"/>
      <c r="E8" s="38"/>
      <c r="F8" s="38"/>
      <c r="G8" s="38"/>
      <c r="H8" s="39" t="s">
        <v>11</v>
      </c>
      <c r="I8" s="39" t="s">
        <v>12</v>
      </c>
      <c r="J8" s="39" t="s">
        <v>13</v>
      </c>
      <c r="K8" s="40" t="s">
        <v>14</v>
      </c>
      <c r="L8" s="39" t="s">
        <v>11</v>
      </c>
      <c r="M8" s="39" t="s">
        <v>12</v>
      </c>
      <c r="N8" s="39" t="s">
        <v>13</v>
      </c>
      <c r="O8" s="39" t="s">
        <v>14</v>
      </c>
      <c r="P8" s="39" t="s">
        <v>11</v>
      </c>
      <c r="Q8" s="39" t="s">
        <v>12</v>
      </c>
      <c r="R8" s="39" t="s">
        <v>13</v>
      </c>
      <c r="S8" s="39" t="s">
        <v>14</v>
      </c>
      <c r="T8" s="39" t="s">
        <v>11</v>
      </c>
      <c r="U8" s="39" t="s">
        <v>12</v>
      </c>
      <c r="V8" s="39" t="s">
        <v>13</v>
      </c>
      <c r="W8" s="39" t="s">
        <v>14</v>
      </c>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row>
    <row r="9" ht="19.5" customHeight="1">
      <c r="A9" s="41"/>
      <c r="B9" s="41" t="s">
        <v>15</v>
      </c>
      <c r="C9" s="35"/>
      <c r="D9" s="35"/>
      <c r="E9" s="35"/>
      <c r="F9" s="35"/>
      <c r="G9" s="36"/>
      <c r="H9" s="42"/>
      <c r="I9" s="42"/>
      <c r="J9" s="43"/>
      <c r="K9" s="44"/>
      <c r="L9" s="43"/>
      <c r="M9" s="43"/>
      <c r="N9" s="43"/>
      <c r="O9" s="43"/>
      <c r="P9" s="43"/>
      <c r="Q9" s="43"/>
      <c r="R9" s="43"/>
      <c r="S9" s="43"/>
      <c r="T9" s="45"/>
      <c r="U9" s="43"/>
      <c r="V9" s="43"/>
      <c r="W9" s="43"/>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row>
    <row r="10">
      <c r="A10" s="46"/>
      <c r="B10" s="47" t="s">
        <v>16</v>
      </c>
      <c r="C10" s="35"/>
      <c r="D10" s="35"/>
      <c r="E10" s="35"/>
      <c r="F10" s="35"/>
      <c r="G10" s="36"/>
      <c r="H10" s="48"/>
      <c r="I10" s="42"/>
      <c r="J10" s="43"/>
      <c r="K10" s="44"/>
      <c r="L10" s="43"/>
      <c r="M10" s="43"/>
      <c r="N10" s="43"/>
      <c r="O10" s="43"/>
      <c r="P10" s="43"/>
      <c r="Q10" s="43"/>
      <c r="R10" s="43"/>
      <c r="S10" s="43"/>
      <c r="T10" s="45"/>
      <c r="U10" s="43"/>
      <c r="V10" s="43"/>
      <c r="W10" s="43"/>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row>
    <row r="11">
      <c r="A11" s="46"/>
      <c r="B11" s="49" t="s">
        <v>17</v>
      </c>
      <c r="C11" s="35"/>
      <c r="D11" s="35"/>
      <c r="E11" s="35"/>
      <c r="F11" s="35"/>
      <c r="G11" s="36"/>
      <c r="H11" s="48"/>
      <c r="I11" s="42"/>
      <c r="J11" s="43"/>
      <c r="K11" s="44"/>
      <c r="L11" s="43"/>
      <c r="M11" s="43"/>
      <c r="N11" s="43"/>
      <c r="O11" s="43"/>
      <c r="P11" s="43"/>
      <c r="Q11" s="43"/>
      <c r="R11" s="43"/>
      <c r="S11" s="43"/>
      <c r="T11" s="45"/>
      <c r="U11" s="43"/>
      <c r="V11" s="43"/>
      <c r="W11" s="43"/>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row>
    <row r="12" outlineLevel="1">
      <c r="A12" s="46"/>
      <c r="B12" s="50" t="str">
        <f t="shared" ref="B12:B14" si="1">IF(F12="","",$D$3&amp;"."&amp;COUNTA($F$12:F12)&amp;"")</f>
        <v>TC_11.1</v>
      </c>
      <c r="C12" s="51" t="s">
        <v>18</v>
      </c>
      <c r="D12" s="52" t="s">
        <v>19</v>
      </c>
      <c r="E12" s="53" t="s">
        <v>20</v>
      </c>
      <c r="F12" s="54" t="s">
        <v>21</v>
      </c>
      <c r="G12" s="55" t="s">
        <v>22</v>
      </c>
      <c r="H12" s="56"/>
      <c r="I12" s="48"/>
      <c r="J12" s="50"/>
      <c r="K12" s="57"/>
      <c r="L12" s="58"/>
      <c r="M12" s="50"/>
      <c r="N12" s="50"/>
      <c r="O12" s="59"/>
      <c r="P12" s="58"/>
      <c r="Q12" s="50"/>
      <c r="R12" s="50"/>
      <c r="S12" s="59"/>
      <c r="T12" s="56"/>
      <c r="U12" s="50"/>
      <c r="V12" s="50"/>
      <c r="W12" s="59"/>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row>
    <row r="13" outlineLevel="1">
      <c r="A13" s="46"/>
      <c r="B13" s="50" t="str">
        <f t="shared" si="1"/>
        <v>TC_11.2</v>
      </c>
      <c r="C13" s="51" t="s">
        <v>18</v>
      </c>
      <c r="D13" s="61" t="s">
        <v>23</v>
      </c>
      <c r="E13" s="53" t="s">
        <v>24</v>
      </c>
      <c r="F13" s="54" t="s">
        <v>25</v>
      </c>
      <c r="G13" s="62" t="s">
        <v>26</v>
      </c>
      <c r="H13" s="56"/>
      <c r="I13" s="48"/>
      <c r="J13" s="50"/>
      <c r="K13" s="57"/>
      <c r="L13" s="58"/>
      <c r="M13" s="50"/>
      <c r="N13" s="50"/>
      <c r="O13" s="59"/>
      <c r="P13" s="58"/>
      <c r="Q13" s="50"/>
      <c r="R13" s="50"/>
      <c r="S13" s="59"/>
      <c r="T13" s="56"/>
      <c r="U13" s="50"/>
      <c r="V13" s="50"/>
      <c r="W13" s="59"/>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c r="CF13" s="60"/>
      <c r="CG13" s="60"/>
      <c r="CH13" s="60"/>
      <c r="CI13" s="60"/>
      <c r="CJ13" s="60"/>
      <c r="CK13" s="60"/>
    </row>
    <row r="14" outlineLevel="1">
      <c r="A14" s="46"/>
      <c r="B14" s="50" t="str">
        <f t="shared" si="1"/>
        <v>TC_11.3</v>
      </c>
      <c r="C14" s="51" t="s">
        <v>18</v>
      </c>
      <c r="D14" s="63" t="s">
        <v>27</v>
      </c>
      <c r="E14" s="53" t="s">
        <v>20</v>
      </c>
      <c r="F14" s="54" t="s">
        <v>28</v>
      </c>
      <c r="G14" s="62" t="s">
        <v>29</v>
      </c>
      <c r="H14" s="56"/>
      <c r="I14" s="48"/>
      <c r="J14" s="50"/>
      <c r="K14" s="57"/>
      <c r="L14" s="58"/>
      <c r="M14" s="50"/>
      <c r="N14" s="50"/>
      <c r="O14" s="59"/>
      <c r="P14" s="58"/>
      <c r="Q14" s="50"/>
      <c r="R14" s="50"/>
      <c r="S14" s="59"/>
      <c r="T14" s="56"/>
      <c r="U14" s="50"/>
      <c r="V14" s="50"/>
      <c r="W14" s="59"/>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c r="CF14" s="60"/>
      <c r="CG14" s="60"/>
      <c r="CH14" s="60"/>
      <c r="CI14" s="60"/>
      <c r="CJ14" s="60"/>
      <c r="CK14" s="60"/>
    </row>
    <row r="15">
      <c r="A15" s="64"/>
      <c r="B15" s="49" t="s">
        <v>30</v>
      </c>
      <c r="C15" s="35"/>
      <c r="D15" s="35"/>
      <c r="E15" s="35"/>
      <c r="F15" s="35"/>
      <c r="G15" s="36"/>
      <c r="H15" s="56"/>
      <c r="I15" s="50"/>
      <c r="J15" s="50"/>
      <c r="K15" s="57"/>
      <c r="L15" s="58"/>
      <c r="M15" s="50"/>
      <c r="N15" s="50"/>
      <c r="O15" s="59"/>
      <c r="P15" s="58"/>
      <c r="Q15" s="50"/>
      <c r="R15" s="50"/>
      <c r="S15" s="59"/>
      <c r="T15" s="56"/>
      <c r="U15" s="50"/>
      <c r="V15" s="50"/>
      <c r="W15" s="59"/>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c r="CF15" s="60"/>
      <c r="CG15" s="60"/>
      <c r="CH15" s="60"/>
      <c r="CI15" s="60"/>
      <c r="CJ15" s="60"/>
      <c r="CK15" s="60"/>
    </row>
    <row r="16" outlineLevel="1">
      <c r="A16" s="46"/>
      <c r="B16" s="50" t="str">
        <f t="shared" ref="B16:B18" si="2">IF(F16="","",$D$3&amp;"."&amp;COUNTA($F$12:F16)&amp;"")</f>
        <v>TC_11.4</v>
      </c>
      <c r="C16" s="51" t="s">
        <v>18</v>
      </c>
      <c r="D16" s="65" t="s">
        <v>31</v>
      </c>
      <c r="E16" s="53" t="s">
        <v>20</v>
      </c>
      <c r="F16" s="54" t="s">
        <v>32</v>
      </c>
      <c r="G16" s="54" t="s">
        <v>33</v>
      </c>
      <c r="H16" s="56"/>
      <c r="I16" s="48"/>
      <c r="J16" s="50"/>
      <c r="K16" s="66"/>
      <c r="L16" s="58"/>
      <c r="M16" s="50"/>
      <c r="N16" s="50"/>
      <c r="O16" s="59"/>
      <c r="P16" s="58"/>
      <c r="Q16" s="50"/>
      <c r="R16" s="50"/>
      <c r="S16" s="59"/>
      <c r="T16" s="56"/>
      <c r="U16" s="50"/>
      <c r="V16" s="50"/>
      <c r="W16" s="59"/>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row>
    <row r="17" outlineLevel="1">
      <c r="A17" s="64"/>
      <c r="B17" s="50" t="str">
        <f t="shared" si="2"/>
        <v>TC_11.5</v>
      </c>
      <c r="C17" s="51" t="s">
        <v>18</v>
      </c>
      <c r="D17" s="52" t="s">
        <v>34</v>
      </c>
      <c r="E17" s="53" t="s">
        <v>35</v>
      </c>
      <c r="F17" s="54" t="s">
        <v>36</v>
      </c>
      <c r="G17" s="54" t="s">
        <v>37</v>
      </c>
      <c r="H17" s="56"/>
      <c r="I17" s="48"/>
      <c r="J17" s="50"/>
      <c r="K17" s="57"/>
      <c r="L17" s="58"/>
      <c r="M17" s="50"/>
      <c r="N17" s="50"/>
      <c r="O17" s="59"/>
      <c r="P17" s="58"/>
      <c r="Q17" s="50"/>
      <c r="R17" s="50"/>
      <c r="S17" s="59"/>
      <c r="T17" s="56"/>
      <c r="U17" s="50"/>
      <c r="V17" s="50"/>
      <c r="W17" s="59"/>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row>
    <row r="18" outlineLevel="1">
      <c r="A18" s="67"/>
      <c r="B18" s="50" t="str">
        <f t="shared" si="2"/>
        <v>TC_11.6</v>
      </c>
      <c r="C18" s="51" t="s">
        <v>18</v>
      </c>
      <c r="D18" s="52" t="s">
        <v>38</v>
      </c>
      <c r="E18" s="53" t="s">
        <v>39</v>
      </c>
      <c r="F18" s="54" t="s">
        <v>40</v>
      </c>
      <c r="G18" s="54" t="s">
        <v>41</v>
      </c>
      <c r="H18" s="56"/>
      <c r="I18" s="48"/>
      <c r="J18" s="50"/>
      <c r="K18" s="57"/>
      <c r="L18" s="58"/>
      <c r="M18" s="50"/>
      <c r="N18" s="50"/>
      <c r="O18" s="59"/>
      <c r="P18" s="58"/>
      <c r="Q18" s="50"/>
      <c r="R18" s="50"/>
      <c r="S18" s="59"/>
      <c r="T18" s="56"/>
      <c r="U18" s="50"/>
      <c r="V18" s="50"/>
      <c r="W18" s="59"/>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c r="CG18" s="60"/>
      <c r="CH18" s="60"/>
      <c r="CI18" s="60"/>
      <c r="CJ18" s="60"/>
      <c r="CK18" s="60"/>
    </row>
    <row r="19">
      <c r="A19" s="67"/>
      <c r="B19" s="49" t="s">
        <v>42</v>
      </c>
      <c r="C19" s="35"/>
      <c r="D19" s="35"/>
      <c r="E19" s="35"/>
      <c r="F19" s="35"/>
      <c r="G19" s="36"/>
      <c r="H19" s="56"/>
      <c r="I19" s="50"/>
      <c r="J19" s="50"/>
      <c r="K19" s="57"/>
      <c r="L19" s="58"/>
      <c r="M19" s="50"/>
      <c r="N19" s="50"/>
      <c r="O19" s="59"/>
      <c r="P19" s="58"/>
      <c r="Q19" s="50"/>
      <c r="R19" s="50"/>
      <c r="S19" s="59"/>
      <c r="T19" s="56"/>
      <c r="U19" s="50"/>
      <c r="V19" s="50"/>
      <c r="W19" s="59"/>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row>
    <row r="20" outlineLevel="1">
      <c r="A20" s="68"/>
      <c r="B20" s="50" t="str">
        <f t="shared" ref="B20:B24" si="3">IF(F20="","",$D$3&amp;"."&amp;COUNTA($F$9:F20)&amp;"")</f>
        <v>TC_11.7</v>
      </c>
      <c r="C20" s="48" t="s">
        <v>18</v>
      </c>
      <c r="D20" s="69" t="s">
        <v>43</v>
      </c>
      <c r="E20" s="69" t="s">
        <v>44</v>
      </c>
      <c r="F20" s="54" t="s">
        <v>45</v>
      </c>
      <c r="G20" s="69" t="s">
        <v>46</v>
      </c>
      <c r="H20" s="56"/>
      <c r="I20" s="48"/>
      <c r="J20" s="50"/>
      <c r="K20" s="57"/>
      <c r="L20" s="58"/>
      <c r="M20" s="50"/>
      <c r="N20" s="50"/>
      <c r="O20" s="59"/>
      <c r="P20" s="58"/>
      <c r="Q20" s="50"/>
      <c r="R20" s="50"/>
      <c r="S20" s="59"/>
      <c r="T20" s="56"/>
      <c r="U20" s="50"/>
      <c r="V20" s="50"/>
      <c r="W20" s="59"/>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row>
    <row r="21" outlineLevel="1">
      <c r="A21" s="46"/>
      <c r="B21" s="50" t="str">
        <f t="shared" si="3"/>
        <v>TC_11.8</v>
      </c>
      <c r="C21" s="48" t="s">
        <v>18</v>
      </c>
      <c r="D21" s="69" t="s">
        <v>47</v>
      </c>
      <c r="E21" s="69" t="s">
        <v>44</v>
      </c>
      <c r="F21" s="54" t="s">
        <v>48</v>
      </c>
      <c r="G21" s="69" t="s">
        <v>49</v>
      </c>
      <c r="H21" s="56"/>
      <c r="I21" s="48"/>
      <c r="J21" s="50"/>
      <c r="K21" s="57"/>
      <c r="L21" s="58"/>
      <c r="M21" s="50"/>
      <c r="N21" s="50"/>
      <c r="O21" s="59"/>
      <c r="P21" s="58"/>
      <c r="Q21" s="50"/>
      <c r="R21" s="50"/>
      <c r="S21" s="59"/>
      <c r="T21" s="56"/>
      <c r="U21" s="50"/>
      <c r="V21" s="50"/>
      <c r="W21" s="59"/>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c r="CF21" s="60"/>
      <c r="CG21" s="60"/>
      <c r="CH21" s="60"/>
      <c r="CI21" s="60"/>
      <c r="CJ21" s="60"/>
      <c r="CK21" s="60"/>
    </row>
    <row r="22" outlineLevel="1">
      <c r="A22" s="68"/>
      <c r="B22" s="50" t="str">
        <f t="shared" si="3"/>
        <v>TC_11.9</v>
      </c>
      <c r="C22" s="48" t="s">
        <v>18</v>
      </c>
      <c r="D22" s="69" t="s">
        <v>50</v>
      </c>
      <c r="E22" s="69" t="s">
        <v>44</v>
      </c>
      <c r="F22" s="54" t="s">
        <v>51</v>
      </c>
      <c r="G22" s="69" t="s">
        <v>52</v>
      </c>
      <c r="H22" s="56"/>
      <c r="I22" s="48"/>
      <c r="J22" s="50"/>
      <c r="K22" s="57"/>
      <c r="L22" s="58"/>
      <c r="M22" s="50"/>
      <c r="N22" s="50"/>
      <c r="O22" s="59"/>
      <c r="P22" s="58"/>
      <c r="Q22" s="50"/>
      <c r="R22" s="50"/>
      <c r="S22" s="59"/>
      <c r="T22" s="56"/>
      <c r="U22" s="50"/>
      <c r="V22" s="50"/>
      <c r="W22" s="59"/>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row>
    <row r="23" outlineLevel="1">
      <c r="A23" s="68"/>
      <c r="B23" s="50" t="str">
        <f t="shared" si="3"/>
        <v>TC_11.10</v>
      </c>
      <c r="C23" s="48" t="s">
        <v>18</v>
      </c>
      <c r="D23" s="69" t="s">
        <v>53</v>
      </c>
      <c r="E23" s="69" t="s">
        <v>44</v>
      </c>
      <c r="F23" s="54" t="s">
        <v>54</v>
      </c>
      <c r="G23" s="69" t="s">
        <v>55</v>
      </c>
      <c r="H23" s="56"/>
      <c r="I23" s="48"/>
      <c r="J23" s="48"/>
      <c r="K23" s="48"/>
      <c r="L23" s="58"/>
      <c r="M23" s="50"/>
      <c r="N23" s="50"/>
      <c r="O23" s="59"/>
      <c r="P23" s="58"/>
      <c r="Q23" s="50"/>
      <c r="R23" s="50"/>
      <c r="S23" s="59"/>
      <c r="T23" s="56"/>
      <c r="U23" s="50"/>
      <c r="V23" s="50"/>
      <c r="W23" s="59"/>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c r="CF23" s="60"/>
      <c r="CG23" s="60"/>
      <c r="CH23" s="60"/>
      <c r="CI23" s="60"/>
      <c r="CJ23" s="60"/>
      <c r="CK23" s="60"/>
    </row>
    <row r="24" outlineLevel="1">
      <c r="A24" s="64"/>
      <c r="B24" s="50" t="str">
        <f t="shared" si="3"/>
        <v>TC_11.11</v>
      </c>
      <c r="C24" s="48" t="s">
        <v>18</v>
      </c>
      <c r="D24" s="69" t="s">
        <v>56</v>
      </c>
      <c r="E24" s="69" t="s">
        <v>44</v>
      </c>
      <c r="F24" s="54" t="s">
        <v>57</v>
      </c>
      <c r="G24" s="69" t="s">
        <v>58</v>
      </c>
      <c r="H24" s="56"/>
      <c r="I24" s="48"/>
      <c r="J24" s="50"/>
      <c r="K24" s="57"/>
      <c r="L24" s="58"/>
      <c r="M24" s="50"/>
      <c r="N24" s="50"/>
      <c r="O24" s="59"/>
      <c r="P24" s="58"/>
      <c r="Q24" s="50"/>
      <c r="R24" s="50"/>
      <c r="S24" s="59"/>
      <c r="T24" s="56"/>
      <c r="U24" s="50"/>
      <c r="V24" s="50"/>
      <c r="W24" s="59"/>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c r="CF24" s="60"/>
      <c r="CG24" s="60"/>
      <c r="CH24" s="60"/>
      <c r="CI24" s="60"/>
      <c r="CJ24" s="60"/>
      <c r="CK24" s="60"/>
    </row>
    <row r="25">
      <c r="A25" s="68"/>
      <c r="B25" s="49" t="s">
        <v>59</v>
      </c>
      <c r="C25" s="35"/>
      <c r="D25" s="35"/>
      <c r="E25" s="35"/>
      <c r="F25" s="35"/>
      <c r="G25" s="36"/>
      <c r="H25" s="70"/>
      <c r="I25" s="70"/>
      <c r="J25" s="43"/>
      <c r="K25" s="44"/>
      <c r="L25" s="43"/>
      <c r="M25" s="43"/>
      <c r="N25" s="43"/>
      <c r="O25" s="43"/>
      <c r="P25" s="43"/>
      <c r="Q25" s="43"/>
      <c r="R25" s="43"/>
      <c r="S25" s="43"/>
      <c r="T25" s="45"/>
      <c r="U25" s="43"/>
      <c r="V25" s="43"/>
      <c r="W25" s="43"/>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row>
    <row r="26">
      <c r="A26" s="68"/>
      <c r="B26" s="57"/>
      <c r="C26" s="71" t="s">
        <v>60</v>
      </c>
      <c r="D26" s="35"/>
      <c r="E26" s="35"/>
      <c r="F26" s="35"/>
      <c r="G26" s="36"/>
      <c r="H26" s="72"/>
      <c r="I26" s="48"/>
      <c r="J26" s="66"/>
      <c r="K26" s="66"/>
      <c r="L26" s="57"/>
      <c r="M26" s="57"/>
      <c r="N26" s="57"/>
      <c r="O26" s="57"/>
      <c r="P26" s="57"/>
      <c r="Q26" s="57"/>
      <c r="R26" s="57"/>
      <c r="S26" s="57"/>
      <c r="T26" s="73"/>
      <c r="U26" s="57"/>
      <c r="V26" s="57"/>
      <c r="W26" s="57"/>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row>
    <row r="27" outlineLevel="1">
      <c r="A27" s="68"/>
      <c r="B27" s="50"/>
      <c r="C27" s="75" t="s">
        <v>18</v>
      </c>
      <c r="D27" s="76" t="s">
        <v>61</v>
      </c>
      <c r="E27" s="53" t="s">
        <v>62</v>
      </c>
      <c r="F27" s="77" t="s">
        <v>63</v>
      </c>
      <c r="G27" s="78" t="s">
        <v>64</v>
      </c>
      <c r="H27" s="79"/>
      <c r="I27" s="48"/>
      <c r="J27" s="54"/>
      <c r="K27" s="66"/>
      <c r="L27" s="59"/>
      <c r="M27" s="59"/>
      <c r="N27" s="59"/>
      <c r="O27" s="59"/>
      <c r="P27" s="59"/>
      <c r="Q27" s="59"/>
      <c r="R27" s="59"/>
      <c r="S27" s="59"/>
      <c r="T27" s="80"/>
      <c r="U27" s="59"/>
      <c r="V27" s="59"/>
      <c r="W27" s="59"/>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row>
    <row r="28" outlineLevel="1">
      <c r="A28" s="68"/>
      <c r="B28" s="50"/>
      <c r="C28" s="50" t="s">
        <v>18</v>
      </c>
      <c r="D28" s="81" t="s">
        <v>65</v>
      </c>
      <c r="E28" s="53" t="s">
        <v>62</v>
      </c>
      <c r="F28" s="54" t="s">
        <v>66</v>
      </c>
      <c r="G28" s="78" t="s">
        <v>67</v>
      </c>
      <c r="H28" s="79"/>
      <c r="I28" s="48"/>
      <c r="J28" s="54"/>
      <c r="K28" s="82"/>
      <c r="L28" s="59"/>
      <c r="M28" s="59"/>
      <c r="N28" s="59"/>
      <c r="O28" s="59"/>
      <c r="P28" s="59"/>
      <c r="Q28" s="59"/>
      <c r="R28" s="59"/>
      <c r="S28" s="59"/>
      <c r="T28" s="80"/>
      <c r="U28" s="59"/>
      <c r="V28" s="59"/>
      <c r="W28" s="59"/>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row>
    <row r="29" outlineLevel="1">
      <c r="A29" s="68"/>
      <c r="B29" s="50"/>
      <c r="C29" s="50" t="s">
        <v>18</v>
      </c>
      <c r="D29" s="76" t="s">
        <v>68</v>
      </c>
      <c r="E29" s="53" t="s">
        <v>62</v>
      </c>
      <c r="F29" s="54" t="s">
        <v>69</v>
      </c>
      <c r="G29" s="78" t="s">
        <v>70</v>
      </c>
      <c r="H29" s="79"/>
      <c r="I29" s="48"/>
      <c r="J29" s="54"/>
      <c r="K29" s="82"/>
      <c r="L29" s="59"/>
      <c r="M29" s="59"/>
      <c r="N29" s="59"/>
      <c r="O29" s="59"/>
      <c r="P29" s="59"/>
      <c r="Q29" s="59"/>
      <c r="R29" s="59"/>
      <c r="S29" s="59"/>
      <c r="T29" s="80"/>
      <c r="U29" s="59"/>
      <c r="V29" s="59"/>
      <c r="W29" s="59"/>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row>
    <row r="30" outlineLevel="1">
      <c r="A30" s="68"/>
      <c r="B30" s="50"/>
      <c r="C30" s="50" t="s">
        <v>18</v>
      </c>
      <c r="D30" s="83" t="s">
        <v>71</v>
      </c>
      <c r="E30" s="53" t="s">
        <v>62</v>
      </c>
      <c r="F30" s="54" t="s">
        <v>72</v>
      </c>
      <c r="G30" s="80" t="s">
        <v>73</v>
      </c>
      <c r="H30" s="79"/>
      <c r="I30" s="48"/>
      <c r="J30" s="54"/>
      <c r="K30" s="82"/>
      <c r="L30" s="59"/>
      <c r="M30" s="59"/>
      <c r="N30" s="59"/>
      <c r="O30" s="59"/>
      <c r="P30" s="59"/>
      <c r="Q30" s="59"/>
      <c r="R30" s="59"/>
      <c r="S30" s="59"/>
      <c r="T30" s="80"/>
      <c r="U30" s="59"/>
      <c r="V30" s="59"/>
      <c r="W30" s="59"/>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row>
    <row r="31" outlineLevel="1">
      <c r="A31" s="68"/>
      <c r="B31" s="50"/>
      <c r="C31" s="75" t="s">
        <v>18</v>
      </c>
      <c r="D31" s="81" t="s">
        <v>74</v>
      </c>
      <c r="E31" s="53" t="s">
        <v>62</v>
      </c>
      <c r="F31" s="54" t="s">
        <v>75</v>
      </c>
      <c r="G31" s="80" t="s">
        <v>73</v>
      </c>
      <c r="H31" s="79"/>
      <c r="I31" s="48"/>
      <c r="J31" s="54"/>
      <c r="K31" s="57"/>
      <c r="L31" s="59"/>
      <c r="M31" s="59"/>
      <c r="N31" s="59"/>
      <c r="O31" s="59"/>
      <c r="P31" s="59"/>
      <c r="Q31" s="59"/>
      <c r="R31" s="59"/>
      <c r="S31" s="59"/>
      <c r="T31" s="80"/>
      <c r="U31" s="59"/>
      <c r="V31" s="59"/>
      <c r="W31" s="59"/>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row>
    <row r="32" outlineLevel="1">
      <c r="A32" s="68"/>
      <c r="B32" s="50"/>
      <c r="C32" s="50" t="s">
        <v>18</v>
      </c>
      <c r="D32" s="84" t="s">
        <v>76</v>
      </c>
      <c r="E32" s="53" t="s">
        <v>62</v>
      </c>
      <c r="F32" s="54" t="s">
        <v>77</v>
      </c>
      <c r="G32" s="78" t="s">
        <v>78</v>
      </c>
      <c r="H32" s="79"/>
      <c r="I32" s="48"/>
      <c r="J32" s="54"/>
      <c r="K32" s="85"/>
      <c r="L32" s="58"/>
      <c r="M32" s="86"/>
      <c r="N32" s="86"/>
      <c r="O32" s="87"/>
      <c r="P32" s="58"/>
      <c r="Q32" s="86"/>
      <c r="R32" s="86"/>
      <c r="S32" s="87"/>
      <c r="T32" s="56"/>
      <c r="U32" s="86"/>
      <c r="V32" s="86"/>
      <c r="W32" s="87"/>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row>
    <row r="33" outlineLevel="1">
      <c r="A33" s="68"/>
      <c r="B33" s="50"/>
      <c r="C33" s="50" t="s">
        <v>18</v>
      </c>
      <c r="D33" s="76" t="s">
        <v>79</v>
      </c>
      <c r="E33" s="53" t="s">
        <v>62</v>
      </c>
      <c r="F33" s="54" t="s">
        <v>80</v>
      </c>
      <c r="G33" s="78" t="s">
        <v>81</v>
      </c>
      <c r="H33" s="79"/>
      <c r="I33" s="48"/>
      <c r="J33" s="54"/>
      <c r="K33" s="69"/>
      <c r="L33" s="56"/>
      <c r="M33" s="89"/>
      <c r="N33" s="90"/>
      <c r="O33" s="91"/>
      <c r="P33" s="92"/>
      <c r="Q33" s="89"/>
      <c r="R33" s="90"/>
      <c r="S33" s="91"/>
      <c r="T33" s="92"/>
      <c r="U33" s="89"/>
      <c r="V33" s="90"/>
      <c r="W33" s="91"/>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row>
    <row r="34" outlineLevel="1">
      <c r="A34" s="68"/>
      <c r="B34" s="50"/>
      <c r="C34" s="50" t="s">
        <v>18</v>
      </c>
      <c r="D34" s="81" t="s">
        <v>82</v>
      </c>
      <c r="E34" s="53" t="s">
        <v>62</v>
      </c>
      <c r="F34" s="54" t="s">
        <v>83</v>
      </c>
      <c r="G34" s="78" t="s">
        <v>84</v>
      </c>
      <c r="H34" s="79"/>
      <c r="I34" s="48"/>
      <c r="J34" s="54"/>
      <c r="K34" s="94"/>
      <c r="L34" s="56"/>
      <c r="M34" s="89"/>
      <c r="N34" s="90"/>
      <c r="O34" s="91"/>
      <c r="P34" s="92"/>
      <c r="Q34" s="89"/>
      <c r="R34" s="90"/>
      <c r="S34" s="91"/>
      <c r="T34" s="92"/>
      <c r="U34" s="89"/>
      <c r="V34" s="90"/>
      <c r="W34" s="91"/>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row>
    <row r="35">
      <c r="A35" s="68"/>
      <c r="B35" s="57"/>
      <c r="C35" s="71" t="s">
        <v>85</v>
      </c>
      <c r="D35" s="35"/>
      <c r="E35" s="35"/>
      <c r="F35" s="35"/>
      <c r="G35" s="36"/>
      <c r="H35" s="48"/>
      <c r="I35" s="48"/>
      <c r="J35" s="57"/>
      <c r="K35" s="85"/>
      <c r="L35" s="95"/>
      <c r="M35" s="69"/>
      <c r="N35" s="69"/>
      <c r="O35" s="85"/>
      <c r="P35" s="95"/>
      <c r="Q35" s="69"/>
      <c r="R35" s="69"/>
      <c r="S35" s="85"/>
      <c r="T35" s="95"/>
      <c r="U35" s="69"/>
      <c r="V35" s="69"/>
      <c r="W35" s="69"/>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row>
    <row r="36" outlineLevel="1">
      <c r="A36" s="68"/>
      <c r="B36" s="50" t="str">
        <f>IF(F36="","",$D$3&amp;"."&amp;COUNTA($F$9:F36)&amp;"")</f>
        <v>TC_11.20</v>
      </c>
      <c r="C36" s="50" t="s">
        <v>18</v>
      </c>
      <c r="D36" s="81" t="s">
        <v>86</v>
      </c>
      <c r="E36" s="53" t="s">
        <v>87</v>
      </c>
      <c r="F36" s="54" t="s">
        <v>88</v>
      </c>
      <c r="G36" s="78" t="s">
        <v>67</v>
      </c>
      <c r="H36" s="48"/>
      <c r="I36" s="48"/>
      <c r="J36" s="59"/>
      <c r="K36" s="85"/>
      <c r="L36" s="56"/>
      <c r="M36" s="89"/>
      <c r="N36" s="89"/>
      <c r="O36" s="87"/>
      <c r="P36" s="56"/>
      <c r="Q36" s="89"/>
      <c r="R36" s="89"/>
      <c r="S36" s="87"/>
      <c r="T36" s="56"/>
      <c r="U36" s="89"/>
      <c r="V36" s="89"/>
      <c r="W36" s="97"/>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row>
    <row r="37" outlineLevel="1">
      <c r="A37" s="68"/>
      <c r="B37" s="50" t="str">
        <f t="shared" ref="B37:B41" si="4">IF(F37="","",$D$3&amp;"."&amp;COUNTA($F$12:F37)&amp;"")</f>
        <v>TC_11.21</v>
      </c>
      <c r="C37" s="50" t="s">
        <v>18</v>
      </c>
      <c r="D37" s="76" t="s">
        <v>89</v>
      </c>
      <c r="E37" s="53" t="s">
        <v>87</v>
      </c>
      <c r="F37" s="54" t="s">
        <v>90</v>
      </c>
      <c r="G37" s="78" t="s">
        <v>91</v>
      </c>
      <c r="H37" s="48"/>
      <c r="I37" s="48"/>
      <c r="J37" s="59"/>
      <c r="K37" s="85"/>
      <c r="L37" s="56"/>
      <c r="M37" s="89"/>
      <c r="N37" s="86"/>
      <c r="O37" s="87"/>
      <c r="P37" s="56"/>
      <c r="Q37" s="89"/>
      <c r="R37" s="86"/>
      <c r="S37" s="87"/>
      <c r="T37" s="56"/>
      <c r="U37" s="89"/>
      <c r="V37" s="86"/>
      <c r="W37" s="87"/>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row>
    <row r="38" outlineLevel="1">
      <c r="A38" s="68"/>
      <c r="B38" s="50" t="str">
        <f t="shared" si="4"/>
        <v>TC_11.22</v>
      </c>
      <c r="C38" s="50" t="s">
        <v>18</v>
      </c>
      <c r="D38" s="81" t="s">
        <v>92</v>
      </c>
      <c r="E38" s="53" t="s">
        <v>87</v>
      </c>
      <c r="F38" s="54" t="s">
        <v>93</v>
      </c>
      <c r="G38" s="80" t="s">
        <v>94</v>
      </c>
      <c r="H38" s="48"/>
      <c r="I38" s="48"/>
      <c r="J38" s="59"/>
      <c r="K38" s="82"/>
      <c r="L38" s="56"/>
      <c r="M38" s="89"/>
      <c r="N38" s="99"/>
      <c r="O38" s="87"/>
      <c r="P38" s="56"/>
      <c r="Q38" s="89"/>
      <c r="R38" s="99"/>
      <c r="S38" s="87"/>
      <c r="T38" s="56"/>
      <c r="U38" s="89"/>
      <c r="V38" s="99"/>
      <c r="W38" s="97"/>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row>
    <row r="39" outlineLevel="1">
      <c r="A39" s="68"/>
      <c r="B39" s="50" t="str">
        <f t="shared" si="4"/>
        <v>TC_11.23</v>
      </c>
      <c r="C39" s="50" t="s">
        <v>18</v>
      </c>
      <c r="D39" s="81" t="s">
        <v>95</v>
      </c>
      <c r="E39" s="53" t="s">
        <v>87</v>
      </c>
      <c r="F39" s="54" t="s">
        <v>96</v>
      </c>
      <c r="G39" s="54" t="s">
        <v>97</v>
      </c>
      <c r="H39" s="48"/>
      <c r="I39" s="48"/>
      <c r="J39" s="59"/>
      <c r="K39" s="100"/>
      <c r="L39" s="56"/>
      <c r="M39" s="89"/>
      <c r="N39" s="90"/>
      <c r="O39" s="91"/>
      <c r="P39" s="92"/>
      <c r="Q39" s="89"/>
      <c r="R39" s="101"/>
      <c r="S39" s="91"/>
      <c r="T39" s="92"/>
      <c r="U39" s="89"/>
      <c r="V39" s="90"/>
      <c r="W39" s="91"/>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row>
    <row r="40" outlineLevel="1">
      <c r="A40" s="68"/>
      <c r="B40" s="50" t="str">
        <f t="shared" si="4"/>
        <v>TC_11.24</v>
      </c>
      <c r="C40" s="50" t="s">
        <v>18</v>
      </c>
      <c r="D40" s="81" t="s">
        <v>98</v>
      </c>
      <c r="E40" s="53" t="s">
        <v>87</v>
      </c>
      <c r="F40" s="54" t="s">
        <v>99</v>
      </c>
      <c r="G40" s="80" t="s">
        <v>97</v>
      </c>
      <c r="H40" s="48"/>
      <c r="I40" s="48"/>
      <c r="J40" s="59"/>
      <c r="K40" s="69"/>
      <c r="L40" s="56"/>
      <c r="M40" s="89"/>
      <c r="N40" s="86"/>
      <c r="O40" s="87"/>
      <c r="P40" s="56"/>
      <c r="Q40" s="89"/>
      <c r="R40" s="86"/>
      <c r="S40" s="87"/>
      <c r="T40" s="56"/>
      <c r="U40" s="89"/>
      <c r="V40" s="86"/>
      <c r="W40" s="87"/>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row>
    <row r="41" outlineLevel="1">
      <c r="A41" s="68"/>
      <c r="B41" s="50" t="str">
        <f t="shared" si="4"/>
        <v>TC_11.25</v>
      </c>
      <c r="C41" s="50" t="s">
        <v>18</v>
      </c>
      <c r="D41" s="84" t="s">
        <v>100</v>
      </c>
      <c r="E41" s="53" t="s">
        <v>87</v>
      </c>
      <c r="F41" s="54" t="s">
        <v>101</v>
      </c>
      <c r="G41" s="78" t="s">
        <v>102</v>
      </c>
      <c r="H41" s="48"/>
      <c r="I41" s="48"/>
      <c r="J41" s="59"/>
      <c r="K41" s="69"/>
      <c r="L41" s="56"/>
      <c r="M41" s="89"/>
      <c r="N41" s="86"/>
      <c r="O41" s="87"/>
      <c r="P41" s="56"/>
      <c r="Q41" s="89"/>
      <c r="R41" s="86"/>
      <c r="S41" s="87"/>
      <c r="T41" s="56"/>
      <c r="U41" s="89"/>
      <c r="V41" s="99"/>
      <c r="W41" s="97"/>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row>
    <row r="42">
      <c r="A42" s="68"/>
      <c r="B42" s="57"/>
      <c r="C42" s="71" t="s">
        <v>103</v>
      </c>
      <c r="D42" s="35"/>
      <c r="E42" s="35"/>
      <c r="F42" s="35"/>
      <c r="G42" s="36"/>
      <c r="H42" s="48"/>
      <c r="I42" s="48"/>
      <c r="J42" s="57"/>
      <c r="K42" s="85"/>
      <c r="L42" s="95"/>
      <c r="M42" s="69"/>
      <c r="N42" s="85"/>
      <c r="O42" s="85"/>
      <c r="P42" s="95"/>
      <c r="Q42" s="69"/>
      <c r="R42" s="85"/>
      <c r="S42" s="85"/>
      <c r="T42" s="95"/>
      <c r="U42" s="69"/>
      <c r="V42" s="85"/>
      <c r="W42" s="85"/>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c r="CI42" s="102"/>
      <c r="CJ42" s="102"/>
      <c r="CK42" s="102"/>
    </row>
    <row r="43" outlineLevel="1">
      <c r="A43" s="68"/>
      <c r="B43" s="50" t="str">
        <f t="shared" ref="B43:B49" si="5">IF(F43="","",$D$3&amp;"."&amp;COUNTA($F$12:F43)&amp;"")</f>
        <v>TC_11.26</v>
      </c>
      <c r="C43" s="103" t="s">
        <v>104</v>
      </c>
      <c r="D43" s="81" t="s">
        <v>105</v>
      </c>
      <c r="E43" s="53" t="s">
        <v>106</v>
      </c>
      <c r="F43" s="77" t="s">
        <v>107</v>
      </c>
      <c r="G43" s="77" t="s">
        <v>108</v>
      </c>
      <c r="H43" s="79"/>
      <c r="I43" s="48"/>
      <c r="J43" s="59"/>
      <c r="K43" s="69"/>
      <c r="L43" s="56"/>
      <c r="M43" s="89"/>
      <c r="N43" s="86"/>
      <c r="O43" s="87"/>
      <c r="P43" s="56"/>
      <c r="Q43" s="89"/>
      <c r="R43" s="86"/>
      <c r="S43" s="87"/>
      <c r="T43" s="56"/>
      <c r="U43" s="89"/>
      <c r="V43" s="86"/>
      <c r="W43" s="87"/>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row>
    <row r="44" outlineLevel="1">
      <c r="A44" s="68"/>
      <c r="B44" s="50" t="str">
        <f t="shared" si="5"/>
        <v>TC_11.27</v>
      </c>
      <c r="C44" s="75" t="s">
        <v>18</v>
      </c>
      <c r="D44" s="81" t="s">
        <v>109</v>
      </c>
      <c r="E44" s="53" t="s">
        <v>106</v>
      </c>
      <c r="F44" s="77" t="s">
        <v>110</v>
      </c>
      <c r="G44" s="78" t="s">
        <v>67</v>
      </c>
      <c r="H44" s="79"/>
      <c r="I44" s="48"/>
      <c r="J44" s="59"/>
      <c r="K44" s="85"/>
      <c r="L44" s="56"/>
      <c r="M44" s="89"/>
      <c r="N44" s="86"/>
      <c r="O44" s="87"/>
      <c r="P44" s="56"/>
      <c r="Q44" s="89"/>
      <c r="R44" s="86"/>
      <c r="S44" s="87"/>
      <c r="T44" s="56"/>
      <c r="U44" s="89"/>
      <c r="V44" s="86"/>
      <c r="W44" s="87"/>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row>
    <row r="45" outlineLevel="1">
      <c r="A45" s="68"/>
      <c r="B45" s="50" t="str">
        <f t="shared" si="5"/>
        <v>TC_11.28</v>
      </c>
      <c r="C45" s="75" t="s">
        <v>18</v>
      </c>
      <c r="D45" s="76" t="s">
        <v>111</v>
      </c>
      <c r="E45" s="53" t="s">
        <v>106</v>
      </c>
      <c r="F45" s="77" t="s">
        <v>112</v>
      </c>
      <c r="G45" s="78" t="s">
        <v>113</v>
      </c>
      <c r="H45" s="79"/>
      <c r="I45" s="48"/>
      <c r="J45" s="104"/>
      <c r="K45" s="69"/>
      <c r="L45" s="56"/>
      <c r="M45" s="89"/>
      <c r="N45" s="101"/>
      <c r="O45" s="87"/>
      <c r="P45" s="56"/>
      <c r="Q45" s="89"/>
      <c r="R45" s="101"/>
      <c r="S45" s="87"/>
      <c r="T45" s="56"/>
      <c r="U45" s="89"/>
      <c r="V45" s="86"/>
      <c r="W45" s="87"/>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row>
    <row r="46" outlineLevel="1">
      <c r="A46" s="68"/>
      <c r="B46" s="50" t="str">
        <f t="shared" si="5"/>
        <v>TC_11.29</v>
      </c>
      <c r="C46" s="75" t="s">
        <v>18</v>
      </c>
      <c r="D46" s="84" t="s">
        <v>114</v>
      </c>
      <c r="E46" s="53" t="s">
        <v>106</v>
      </c>
      <c r="F46" s="77" t="s">
        <v>115</v>
      </c>
      <c r="G46" s="54" t="s">
        <v>116</v>
      </c>
      <c r="H46" s="79"/>
      <c r="I46" s="48"/>
      <c r="J46" s="59"/>
      <c r="K46" s="69"/>
      <c r="L46" s="56"/>
      <c r="M46" s="89"/>
      <c r="N46" s="86"/>
      <c r="O46" s="87"/>
      <c r="P46" s="56"/>
      <c r="Q46" s="89"/>
      <c r="R46" s="86"/>
      <c r="S46" s="87"/>
      <c r="T46" s="56"/>
      <c r="U46" s="89"/>
      <c r="V46" s="86"/>
      <c r="W46" s="87"/>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row>
    <row r="47" outlineLevel="1">
      <c r="A47" s="68"/>
      <c r="B47" s="50" t="str">
        <f t="shared" si="5"/>
        <v>TC_11.30</v>
      </c>
      <c r="C47" s="75" t="s">
        <v>18</v>
      </c>
      <c r="D47" s="84" t="s">
        <v>117</v>
      </c>
      <c r="E47" s="53" t="s">
        <v>106</v>
      </c>
      <c r="F47" s="77" t="s">
        <v>118</v>
      </c>
      <c r="G47" s="78" t="s">
        <v>119</v>
      </c>
      <c r="H47" s="79"/>
      <c r="I47" s="48"/>
      <c r="J47" s="59"/>
      <c r="K47" s="69"/>
      <c r="L47" s="56"/>
      <c r="M47" s="89"/>
      <c r="N47" s="86"/>
      <c r="O47" s="87"/>
      <c r="P47" s="56"/>
      <c r="Q47" s="89"/>
      <c r="R47" s="86"/>
      <c r="S47" s="87"/>
      <c r="T47" s="56"/>
      <c r="U47" s="89"/>
      <c r="V47" s="86"/>
      <c r="W47" s="87"/>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row>
    <row r="48" outlineLevel="1">
      <c r="A48" s="68"/>
      <c r="B48" s="50" t="str">
        <f t="shared" si="5"/>
        <v>TC_11.31</v>
      </c>
      <c r="C48" s="75" t="s">
        <v>18</v>
      </c>
      <c r="D48" s="81" t="s">
        <v>120</v>
      </c>
      <c r="E48" s="53" t="s">
        <v>106</v>
      </c>
      <c r="F48" s="77" t="s">
        <v>121</v>
      </c>
      <c r="G48" s="78" t="s">
        <v>119</v>
      </c>
      <c r="H48" s="79"/>
      <c r="I48" s="48"/>
      <c r="J48" s="59"/>
      <c r="K48" s="85"/>
      <c r="L48" s="56"/>
      <c r="M48" s="89"/>
      <c r="N48" s="86"/>
      <c r="O48" s="87"/>
      <c r="P48" s="56"/>
      <c r="Q48" s="89"/>
      <c r="R48" s="86"/>
      <c r="S48" s="87"/>
      <c r="T48" s="56"/>
      <c r="U48" s="89"/>
      <c r="V48" s="86"/>
      <c r="W48" s="87"/>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row>
    <row r="49" outlineLevel="1">
      <c r="A49" s="68"/>
      <c r="B49" s="50" t="str">
        <f t="shared" si="5"/>
        <v>TC_11.32</v>
      </c>
      <c r="C49" s="105" t="s">
        <v>18</v>
      </c>
      <c r="D49" s="84" t="s">
        <v>122</v>
      </c>
      <c r="E49" s="53" t="s">
        <v>106</v>
      </c>
      <c r="F49" s="77" t="s">
        <v>123</v>
      </c>
      <c r="G49" s="78" t="s">
        <v>124</v>
      </c>
      <c r="H49" s="79"/>
      <c r="I49" s="89"/>
      <c r="J49" s="86"/>
      <c r="K49" s="85"/>
      <c r="L49" s="58"/>
      <c r="M49" s="86"/>
      <c r="N49" s="86"/>
      <c r="O49" s="87"/>
      <c r="P49" s="58"/>
      <c r="Q49" s="86"/>
      <c r="R49" s="86"/>
      <c r="S49" s="87"/>
      <c r="T49" s="56"/>
      <c r="U49" s="86"/>
      <c r="V49" s="86"/>
      <c r="W49" s="87"/>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row>
    <row r="50">
      <c r="A50" s="68"/>
      <c r="B50" s="49" t="s">
        <v>125</v>
      </c>
      <c r="C50" s="35"/>
      <c r="D50" s="35"/>
      <c r="E50" s="35"/>
      <c r="F50" s="35"/>
      <c r="G50" s="36"/>
      <c r="H50" s="70"/>
      <c r="I50" s="70"/>
      <c r="J50" s="106"/>
      <c r="K50" s="44"/>
      <c r="L50" s="106"/>
      <c r="M50" s="106"/>
      <c r="N50" s="44"/>
      <c r="O50" s="44"/>
      <c r="P50" s="106"/>
      <c r="Q50" s="106"/>
      <c r="R50" s="106"/>
      <c r="S50" s="44"/>
      <c r="T50" s="106"/>
      <c r="U50" s="106"/>
      <c r="V50" s="44"/>
      <c r="W50" s="44"/>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row>
    <row r="51">
      <c r="A51" s="68"/>
      <c r="B51" s="57"/>
      <c r="C51" s="71" t="s">
        <v>126</v>
      </c>
      <c r="D51" s="35"/>
      <c r="E51" s="35"/>
      <c r="F51" s="35"/>
      <c r="G51" s="36"/>
      <c r="H51" s="56"/>
      <c r="I51" s="48"/>
      <c r="J51" s="82"/>
      <c r="K51" s="69"/>
      <c r="L51" s="95"/>
      <c r="M51" s="69"/>
      <c r="N51" s="85"/>
      <c r="O51" s="85"/>
      <c r="P51" s="95"/>
      <c r="Q51" s="69"/>
      <c r="R51" s="69"/>
      <c r="S51" s="85"/>
      <c r="T51" s="95"/>
      <c r="U51" s="69"/>
      <c r="V51" s="85"/>
      <c r="W51" s="85"/>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c r="CI51" s="102"/>
      <c r="CJ51" s="102"/>
      <c r="CK51" s="102"/>
    </row>
    <row r="52" outlineLevel="1">
      <c r="A52" s="68"/>
      <c r="B52" s="50" t="str">
        <f t="shared" ref="B52:B59" si="6">IF(F52="","",$D$3&amp;"."&amp;COUNTA($F$12:F52)&amp;"")</f>
        <v>TC_11.33</v>
      </c>
      <c r="C52" s="51" t="s">
        <v>127</v>
      </c>
      <c r="D52" s="52" t="s">
        <v>128</v>
      </c>
      <c r="E52" s="108" t="s">
        <v>129</v>
      </c>
      <c r="F52" s="54" t="s">
        <v>130</v>
      </c>
      <c r="G52" s="109" t="s">
        <v>131</v>
      </c>
      <c r="H52" s="56"/>
      <c r="I52" s="48"/>
      <c r="J52" s="99"/>
      <c r="K52" s="69"/>
      <c r="L52" s="56"/>
      <c r="M52" s="89"/>
      <c r="N52" s="86"/>
      <c r="O52" s="87"/>
      <c r="P52" s="56"/>
      <c r="Q52" s="89"/>
      <c r="R52" s="89"/>
      <c r="S52" s="87"/>
      <c r="T52" s="56"/>
      <c r="U52" s="89"/>
      <c r="V52" s="86"/>
      <c r="W52" s="87"/>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row>
    <row r="53" outlineLevel="1">
      <c r="A53" s="68"/>
      <c r="B53" s="50" t="str">
        <f t="shared" si="6"/>
        <v>TC_11.34</v>
      </c>
      <c r="C53" s="48" t="s">
        <v>104</v>
      </c>
      <c r="D53" s="110" t="s">
        <v>132</v>
      </c>
      <c r="E53" s="108" t="s">
        <v>133</v>
      </c>
      <c r="F53" s="54" t="s">
        <v>134</v>
      </c>
      <c r="G53" s="111" t="s">
        <v>135</v>
      </c>
      <c r="H53" s="56"/>
      <c r="I53" s="48"/>
      <c r="J53" s="89"/>
      <c r="K53" s="69"/>
      <c r="L53" s="56"/>
      <c r="M53" s="89"/>
      <c r="N53" s="86"/>
      <c r="O53" s="87"/>
      <c r="P53" s="56"/>
      <c r="Q53" s="89"/>
      <c r="R53" s="89"/>
      <c r="S53" s="87"/>
      <c r="T53" s="56"/>
      <c r="U53" s="89"/>
      <c r="V53" s="86"/>
      <c r="W53" s="87"/>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row>
    <row r="54" outlineLevel="1">
      <c r="A54" s="68"/>
      <c r="B54" s="50" t="str">
        <f t="shared" si="6"/>
        <v>TC_11.35</v>
      </c>
      <c r="C54" s="112" t="s">
        <v>18</v>
      </c>
      <c r="D54" s="113" t="s">
        <v>136</v>
      </c>
      <c r="E54" s="108" t="s">
        <v>129</v>
      </c>
      <c r="F54" s="114" t="s">
        <v>137</v>
      </c>
      <c r="G54" s="115" t="s">
        <v>138</v>
      </c>
      <c r="H54" s="56"/>
      <c r="I54" s="48"/>
      <c r="J54" s="89"/>
      <c r="K54" s="69"/>
      <c r="L54" s="56"/>
      <c r="M54" s="89"/>
      <c r="N54" s="86"/>
      <c r="O54" s="87"/>
      <c r="P54" s="56"/>
      <c r="Q54" s="89"/>
      <c r="R54" s="89"/>
      <c r="S54" s="87"/>
      <c r="T54" s="56"/>
      <c r="U54" s="89"/>
      <c r="V54" s="86"/>
      <c r="W54" s="87"/>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row>
    <row r="55" outlineLevel="1">
      <c r="A55" s="68"/>
      <c r="B55" s="50" t="str">
        <f t="shared" si="6"/>
        <v>TC_11.36</v>
      </c>
      <c r="C55" s="116" t="s">
        <v>18</v>
      </c>
      <c r="D55" s="110" t="s">
        <v>139</v>
      </c>
      <c r="E55" s="108" t="s">
        <v>129</v>
      </c>
      <c r="F55" s="114" t="s">
        <v>140</v>
      </c>
      <c r="G55" s="114" t="s">
        <v>141</v>
      </c>
      <c r="H55" s="56"/>
      <c r="I55" s="48"/>
      <c r="J55" s="89"/>
      <c r="K55" s="69"/>
      <c r="L55" s="56"/>
      <c r="M55" s="89"/>
      <c r="N55" s="86"/>
      <c r="O55" s="87"/>
      <c r="P55" s="56"/>
      <c r="Q55" s="89"/>
      <c r="R55" s="89"/>
      <c r="S55" s="87"/>
      <c r="T55" s="56"/>
      <c r="U55" s="89"/>
      <c r="V55" s="86"/>
      <c r="W55" s="87"/>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row>
    <row r="56" outlineLevel="1">
      <c r="A56" s="68"/>
      <c r="B56" s="50" t="str">
        <f t="shared" si="6"/>
        <v>TC_11.37</v>
      </c>
      <c r="C56" s="112" t="s">
        <v>18</v>
      </c>
      <c r="D56" s="117" t="s">
        <v>142</v>
      </c>
      <c r="E56" s="108" t="s">
        <v>129</v>
      </c>
      <c r="F56" s="77" t="s">
        <v>143</v>
      </c>
      <c r="G56" s="78" t="s">
        <v>144</v>
      </c>
      <c r="H56" s="56"/>
      <c r="I56" s="48"/>
      <c r="J56" s="89"/>
      <c r="K56" s="69"/>
      <c r="L56" s="56"/>
      <c r="M56" s="89"/>
      <c r="N56" s="86"/>
      <c r="O56" s="87"/>
      <c r="P56" s="56"/>
      <c r="Q56" s="89"/>
      <c r="R56" s="89"/>
      <c r="S56" s="87"/>
      <c r="T56" s="56"/>
      <c r="U56" s="89"/>
      <c r="V56" s="86"/>
      <c r="W56" s="87"/>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row>
    <row r="57" outlineLevel="1">
      <c r="A57" s="68"/>
      <c r="B57" s="50" t="str">
        <f t="shared" si="6"/>
        <v>TC_11.38</v>
      </c>
      <c r="C57" s="112" t="s">
        <v>18</v>
      </c>
      <c r="D57" s="113" t="s">
        <v>145</v>
      </c>
      <c r="E57" s="108" t="s">
        <v>129</v>
      </c>
      <c r="F57" s="114" t="s">
        <v>146</v>
      </c>
      <c r="G57" s="115" t="s">
        <v>147</v>
      </c>
      <c r="H57" s="48"/>
      <c r="I57" s="48"/>
      <c r="J57" s="59"/>
      <c r="K57" s="69"/>
      <c r="L57" s="118"/>
      <c r="M57" s="119"/>
      <c r="N57" s="120"/>
      <c r="O57" s="121"/>
      <c r="P57" s="118"/>
      <c r="Q57" s="119"/>
      <c r="R57" s="119"/>
      <c r="S57" s="121"/>
      <c r="T57" s="118"/>
      <c r="U57" s="119"/>
      <c r="V57" s="120"/>
      <c r="W57" s="121"/>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2"/>
      <c r="CH57" s="122"/>
      <c r="CI57" s="122"/>
      <c r="CJ57" s="122"/>
      <c r="CK57" s="122"/>
    </row>
    <row r="58" outlineLevel="1">
      <c r="A58" s="68"/>
      <c r="B58" s="50" t="str">
        <f t="shared" si="6"/>
        <v>TC_11.39</v>
      </c>
      <c r="C58" s="112" t="s">
        <v>18</v>
      </c>
      <c r="D58" s="113" t="s">
        <v>148</v>
      </c>
      <c r="E58" s="108" t="s">
        <v>129</v>
      </c>
      <c r="F58" s="114" t="s">
        <v>149</v>
      </c>
      <c r="G58" s="123" t="s">
        <v>150</v>
      </c>
      <c r="H58" s="56"/>
      <c r="I58" s="48"/>
      <c r="J58" s="89"/>
      <c r="K58" s="69"/>
      <c r="L58" s="118"/>
      <c r="M58" s="119"/>
      <c r="N58" s="120"/>
      <c r="O58" s="121"/>
      <c r="P58" s="118"/>
      <c r="Q58" s="119"/>
      <c r="R58" s="119"/>
      <c r="S58" s="121"/>
      <c r="T58" s="118"/>
      <c r="U58" s="119"/>
      <c r="V58" s="120"/>
      <c r="W58" s="121"/>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2"/>
      <c r="CH58" s="122"/>
      <c r="CI58" s="122"/>
      <c r="CJ58" s="122"/>
      <c r="CK58" s="122"/>
    </row>
    <row r="59" outlineLevel="1">
      <c r="A59" s="68"/>
      <c r="B59" s="50" t="str">
        <f t="shared" si="6"/>
        <v>TC_11.40</v>
      </c>
      <c r="C59" s="124" t="s">
        <v>18</v>
      </c>
      <c r="D59" s="117" t="s">
        <v>151</v>
      </c>
      <c r="E59" s="108" t="s">
        <v>129</v>
      </c>
      <c r="F59" s="77" t="s">
        <v>152</v>
      </c>
      <c r="G59" s="77" t="s">
        <v>153</v>
      </c>
      <c r="H59" s="92"/>
      <c r="I59" s="89"/>
      <c r="J59" s="125"/>
      <c r="K59" s="69"/>
      <c r="L59" s="118"/>
      <c r="M59" s="119"/>
      <c r="N59" s="126"/>
      <c r="O59" s="127"/>
      <c r="P59" s="128"/>
      <c r="Q59" s="119"/>
      <c r="R59" s="126"/>
      <c r="S59" s="127"/>
      <c r="T59" s="128"/>
      <c r="U59" s="119"/>
      <c r="V59" s="126"/>
      <c r="W59" s="127"/>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c r="BY59" s="129"/>
      <c r="BZ59" s="129"/>
      <c r="CA59" s="129"/>
      <c r="CB59" s="129"/>
      <c r="CC59" s="129"/>
      <c r="CD59" s="129"/>
      <c r="CE59" s="129"/>
      <c r="CF59" s="129"/>
      <c r="CG59" s="129"/>
      <c r="CH59" s="129"/>
      <c r="CI59" s="129"/>
      <c r="CJ59" s="129"/>
      <c r="CK59" s="129"/>
    </row>
    <row r="60">
      <c r="A60" s="68"/>
      <c r="B60" s="57"/>
      <c r="C60" s="71" t="s">
        <v>154</v>
      </c>
      <c r="D60" s="35"/>
      <c r="E60" s="35"/>
      <c r="F60" s="35"/>
      <c r="G60" s="36"/>
      <c r="H60" s="48"/>
      <c r="I60" s="48"/>
      <c r="J60" s="57"/>
      <c r="K60" s="130"/>
      <c r="L60" s="131"/>
      <c r="M60" s="132"/>
      <c r="N60" s="133"/>
      <c r="O60" s="133"/>
      <c r="P60" s="134"/>
      <c r="Q60" s="132"/>
      <c r="R60" s="133"/>
      <c r="S60" s="133"/>
      <c r="T60" s="134"/>
      <c r="U60" s="132"/>
      <c r="V60" s="133"/>
      <c r="W60" s="133"/>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5"/>
      <c r="CK60" s="135"/>
    </row>
    <row r="61" outlineLevel="1">
      <c r="A61" s="68"/>
      <c r="B61" s="50" t="str">
        <f t="shared" ref="B61:B65" si="7">IF(F61="","",$D$3&amp;"."&amp;COUNTA($F$12:F61)&amp;"")</f>
        <v>TC_11.41</v>
      </c>
      <c r="C61" s="136" t="s">
        <v>104</v>
      </c>
      <c r="D61" s="110" t="s">
        <v>155</v>
      </c>
      <c r="E61" s="54" t="s">
        <v>156</v>
      </c>
      <c r="F61" s="54" t="s">
        <v>157</v>
      </c>
      <c r="G61" s="111" t="s">
        <v>158</v>
      </c>
      <c r="H61" s="48"/>
      <c r="I61" s="48"/>
      <c r="J61" s="59"/>
      <c r="K61" s="69"/>
      <c r="L61" s="118"/>
      <c r="M61" s="119"/>
      <c r="N61" s="126"/>
      <c r="O61" s="127"/>
      <c r="P61" s="128"/>
      <c r="Q61" s="119"/>
      <c r="R61" s="126"/>
      <c r="S61" s="127"/>
      <c r="T61" s="128"/>
      <c r="U61" s="119"/>
      <c r="V61" s="126"/>
      <c r="W61" s="127"/>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c r="CA61" s="129"/>
      <c r="CB61" s="129"/>
      <c r="CC61" s="129"/>
      <c r="CD61" s="129"/>
      <c r="CE61" s="129"/>
      <c r="CF61" s="129"/>
      <c r="CG61" s="129"/>
      <c r="CH61" s="129"/>
      <c r="CI61" s="129"/>
      <c r="CJ61" s="129"/>
      <c r="CK61" s="129"/>
    </row>
    <row r="62" outlineLevel="1">
      <c r="A62" s="68"/>
      <c r="B62" s="50" t="str">
        <f t="shared" si="7"/>
        <v>TC_11.42</v>
      </c>
      <c r="C62" s="105" t="s">
        <v>18</v>
      </c>
      <c r="D62" s="65" t="s">
        <v>159</v>
      </c>
      <c r="E62" s="54" t="s">
        <v>156</v>
      </c>
      <c r="F62" s="137" t="s">
        <v>160</v>
      </c>
      <c r="G62" s="138" t="s">
        <v>161</v>
      </c>
      <c r="H62" s="48"/>
      <c r="I62" s="48"/>
      <c r="J62" s="59"/>
      <c r="K62" s="69"/>
      <c r="L62" s="118"/>
      <c r="M62" s="119"/>
      <c r="N62" s="126"/>
      <c r="O62" s="127"/>
      <c r="P62" s="128"/>
      <c r="Q62" s="119"/>
      <c r="R62" s="126"/>
      <c r="S62" s="127"/>
      <c r="T62" s="128"/>
      <c r="U62" s="119"/>
      <c r="V62" s="126"/>
      <c r="W62" s="127"/>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c r="CA62" s="129"/>
      <c r="CB62" s="129"/>
      <c r="CC62" s="129"/>
      <c r="CD62" s="129"/>
      <c r="CE62" s="129"/>
      <c r="CF62" s="129"/>
      <c r="CG62" s="129"/>
      <c r="CH62" s="129"/>
      <c r="CI62" s="129"/>
      <c r="CJ62" s="129"/>
      <c r="CK62" s="129"/>
    </row>
    <row r="63" outlineLevel="1">
      <c r="A63" s="68"/>
      <c r="B63" s="50" t="str">
        <f t="shared" si="7"/>
        <v>TC_11.43</v>
      </c>
      <c r="C63" s="105" t="s">
        <v>18</v>
      </c>
      <c r="D63" s="84" t="s">
        <v>162</v>
      </c>
      <c r="E63" s="54" t="s">
        <v>156</v>
      </c>
      <c r="F63" s="114" t="s">
        <v>163</v>
      </c>
      <c r="G63" s="77" t="s">
        <v>164</v>
      </c>
      <c r="H63" s="48"/>
      <c r="I63" s="48"/>
      <c r="J63" s="59"/>
      <c r="K63" s="69"/>
      <c r="L63" s="139"/>
      <c r="M63" s="120"/>
      <c r="N63" s="120"/>
      <c r="O63" s="121"/>
      <c r="P63" s="139"/>
      <c r="Q63" s="120"/>
      <c r="R63" s="120"/>
      <c r="S63" s="121"/>
      <c r="T63" s="139"/>
      <c r="U63" s="120"/>
      <c r="V63" s="120"/>
      <c r="W63" s="121"/>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2"/>
      <c r="CH63" s="122"/>
      <c r="CI63" s="122"/>
      <c r="CJ63" s="122"/>
      <c r="CK63" s="122"/>
    </row>
    <row r="64" outlineLevel="1">
      <c r="A64" s="68"/>
      <c r="B64" s="50" t="str">
        <f t="shared" si="7"/>
        <v>TC_11.44</v>
      </c>
      <c r="C64" s="140" t="s">
        <v>18</v>
      </c>
      <c r="D64" s="113" t="s">
        <v>165</v>
      </c>
      <c r="E64" s="54" t="s">
        <v>156</v>
      </c>
      <c r="F64" s="114" t="s">
        <v>166</v>
      </c>
      <c r="G64" s="115" t="s">
        <v>147</v>
      </c>
      <c r="H64" s="48"/>
      <c r="I64" s="48"/>
      <c r="J64" s="59"/>
      <c r="K64" s="69"/>
      <c r="L64" s="139"/>
      <c r="M64" s="120"/>
      <c r="N64" s="120"/>
      <c r="O64" s="121"/>
      <c r="P64" s="139"/>
      <c r="Q64" s="120"/>
      <c r="R64" s="120"/>
      <c r="S64" s="121"/>
      <c r="T64" s="139"/>
      <c r="U64" s="120"/>
      <c r="V64" s="120"/>
      <c r="W64" s="121"/>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2"/>
      <c r="CH64" s="122"/>
      <c r="CI64" s="122"/>
      <c r="CJ64" s="122"/>
      <c r="CK64" s="122"/>
    </row>
    <row r="65" outlineLevel="1">
      <c r="A65" s="68"/>
      <c r="B65" s="50" t="str">
        <f t="shared" si="7"/>
        <v>TC_11.45</v>
      </c>
      <c r="C65" s="124" t="s">
        <v>18</v>
      </c>
      <c r="D65" s="117" t="s">
        <v>167</v>
      </c>
      <c r="E65" s="54" t="s">
        <v>168</v>
      </c>
      <c r="F65" s="77" t="s">
        <v>169</v>
      </c>
      <c r="G65" s="78" t="s">
        <v>170</v>
      </c>
      <c r="H65" s="48"/>
      <c r="I65" s="48"/>
      <c r="J65" s="59"/>
      <c r="K65" s="69"/>
      <c r="L65" s="139"/>
      <c r="M65" s="120"/>
      <c r="N65" s="120"/>
      <c r="O65" s="121"/>
      <c r="P65" s="139"/>
      <c r="Q65" s="120"/>
      <c r="R65" s="120"/>
      <c r="S65" s="121"/>
      <c r="T65" s="139"/>
      <c r="U65" s="120"/>
      <c r="V65" s="120"/>
      <c r="W65" s="121"/>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22"/>
      <c r="CE65" s="122"/>
      <c r="CF65" s="122"/>
      <c r="CG65" s="122"/>
      <c r="CH65" s="122"/>
      <c r="CI65" s="122"/>
      <c r="CJ65" s="122"/>
      <c r="CK65" s="122"/>
    </row>
    <row r="66">
      <c r="A66" s="68"/>
      <c r="B66" s="57"/>
      <c r="C66" s="71" t="s">
        <v>171</v>
      </c>
      <c r="D66" s="35"/>
      <c r="E66" s="35"/>
      <c r="F66" s="35"/>
      <c r="G66" s="36"/>
      <c r="H66" s="48"/>
      <c r="I66" s="48"/>
      <c r="J66" s="57"/>
      <c r="K66" s="69"/>
      <c r="L66" s="141"/>
      <c r="M66" s="130"/>
      <c r="N66" s="130"/>
      <c r="O66" s="130"/>
      <c r="P66" s="141"/>
      <c r="Q66" s="130"/>
      <c r="R66" s="130"/>
      <c r="S66" s="130"/>
      <c r="T66" s="141"/>
      <c r="U66" s="130"/>
      <c r="V66" s="130"/>
      <c r="W66" s="130"/>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2"/>
      <c r="BK66" s="142"/>
      <c r="BL66" s="142"/>
      <c r="BM66" s="142"/>
      <c r="BN66" s="142"/>
      <c r="BO66" s="142"/>
      <c r="BP66" s="142"/>
      <c r="BQ66" s="142"/>
      <c r="BR66" s="142"/>
      <c r="BS66" s="142"/>
      <c r="BT66" s="142"/>
      <c r="BU66" s="142"/>
      <c r="BV66" s="142"/>
      <c r="BW66" s="142"/>
      <c r="BX66" s="142"/>
      <c r="BY66" s="142"/>
      <c r="BZ66" s="142"/>
      <c r="CA66" s="142"/>
      <c r="CB66" s="142"/>
      <c r="CC66" s="142"/>
      <c r="CD66" s="142"/>
      <c r="CE66" s="142"/>
      <c r="CF66" s="142"/>
      <c r="CG66" s="142"/>
      <c r="CH66" s="142"/>
      <c r="CI66" s="142"/>
      <c r="CJ66" s="142"/>
      <c r="CK66" s="142"/>
    </row>
    <row r="67" outlineLevel="1">
      <c r="A67" s="68"/>
      <c r="B67" s="50" t="str">
        <f t="shared" ref="B67:B70" si="8">IF(F67="","",$D$3&amp;"."&amp;COUNTA($F$12:F67)&amp;"")</f>
        <v>TC_11.46</v>
      </c>
      <c r="C67" s="136" t="s">
        <v>104</v>
      </c>
      <c r="D67" s="110" t="s">
        <v>172</v>
      </c>
      <c r="E67" s="54" t="s">
        <v>173</v>
      </c>
      <c r="F67" s="54" t="s">
        <v>174</v>
      </c>
      <c r="G67" s="111" t="s">
        <v>175</v>
      </c>
      <c r="H67" s="48"/>
      <c r="I67" s="48"/>
      <c r="J67" s="59"/>
      <c r="K67" s="69"/>
      <c r="L67" s="139"/>
      <c r="M67" s="120"/>
      <c r="N67" s="120"/>
      <c r="O67" s="121"/>
      <c r="P67" s="139"/>
      <c r="Q67" s="120"/>
      <c r="R67" s="120"/>
      <c r="S67" s="121"/>
      <c r="T67" s="139"/>
      <c r="U67" s="120"/>
      <c r="V67" s="120"/>
      <c r="W67" s="121"/>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22"/>
      <c r="CE67" s="122"/>
      <c r="CF67" s="122"/>
      <c r="CG67" s="122"/>
      <c r="CH67" s="122"/>
      <c r="CI67" s="122"/>
      <c r="CJ67" s="122"/>
      <c r="CK67" s="122"/>
    </row>
    <row r="68" outlineLevel="1">
      <c r="A68" s="68"/>
      <c r="B68" s="50" t="str">
        <f t="shared" si="8"/>
        <v>TC_11.47</v>
      </c>
      <c r="C68" s="105" t="s">
        <v>18</v>
      </c>
      <c r="D68" s="65" t="s">
        <v>176</v>
      </c>
      <c r="E68" s="54" t="s">
        <v>173</v>
      </c>
      <c r="F68" s="54" t="s">
        <v>177</v>
      </c>
      <c r="G68" s="80" t="s">
        <v>178</v>
      </c>
      <c r="H68" s="48"/>
      <c r="I68" s="48"/>
      <c r="J68" s="59"/>
      <c r="K68" s="69"/>
      <c r="L68" s="139"/>
      <c r="M68" s="120"/>
      <c r="N68" s="120"/>
      <c r="O68" s="121"/>
      <c r="P68" s="139"/>
      <c r="Q68" s="120"/>
      <c r="R68" s="120"/>
      <c r="S68" s="121"/>
      <c r="T68" s="139"/>
      <c r="U68" s="120"/>
      <c r="V68" s="120"/>
      <c r="W68" s="121"/>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2"/>
      <c r="CE68" s="122"/>
      <c r="CF68" s="122"/>
      <c r="CG68" s="122"/>
      <c r="CH68" s="122"/>
      <c r="CI68" s="122"/>
      <c r="CJ68" s="122"/>
      <c r="CK68" s="122"/>
    </row>
    <row r="69" outlineLevel="1">
      <c r="A69" s="68"/>
      <c r="B69" s="50" t="str">
        <f t="shared" si="8"/>
        <v>TC_11.48</v>
      </c>
      <c r="C69" s="105" t="s">
        <v>18</v>
      </c>
      <c r="D69" s="84" t="s">
        <v>179</v>
      </c>
      <c r="E69" s="54" t="s">
        <v>180</v>
      </c>
      <c r="F69" s="54" t="s">
        <v>181</v>
      </c>
      <c r="G69" s="78" t="s">
        <v>182</v>
      </c>
      <c r="H69" s="48"/>
      <c r="I69" s="48"/>
      <c r="J69" s="59"/>
      <c r="K69" s="69"/>
      <c r="L69" s="59"/>
      <c r="M69" s="59"/>
      <c r="N69" s="59"/>
      <c r="O69" s="59"/>
      <c r="P69" s="59"/>
      <c r="Q69" s="59"/>
      <c r="R69" s="59"/>
      <c r="S69" s="59"/>
      <c r="T69" s="80"/>
      <c r="U69" s="59"/>
      <c r="V69" s="59"/>
      <c r="W69" s="59"/>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row>
    <row r="70" outlineLevel="1">
      <c r="A70" s="68"/>
      <c r="B70" s="50" t="str">
        <f t="shared" si="8"/>
        <v>TC_11.49</v>
      </c>
      <c r="C70" s="140" t="s">
        <v>18</v>
      </c>
      <c r="D70" s="113" t="s">
        <v>183</v>
      </c>
      <c r="E70" s="54" t="s">
        <v>180</v>
      </c>
      <c r="F70" s="114" t="s">
        <v>184</v>
      </c>
      <c r="G70" s="115" t="s">
        <v>147</v>
      </c>
      <c r="H70" s="143"/>
      <c r="I70" s="48"/>
      <c r="J70" s="54"/>
      <c r="K70" s="69"/>
      <c r="L70" s="59"/>
      <c r="M70" s="59"/>
      <c r="N70" s="59"/>
      <c r="O70" s="59"/>
      <c r="P70" s="59"/>
      <c r="Q70" s="59"/>
      <c r="R70" s="59"/>
      <c r="S70" s="59"/>
      <c r="T70" s="80"/>
      <c r="U70" s="59"/>
      <c r="V70" s="59"/>
      <c r="W70" s="59"/>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row>
    <row r="71">
      <c r="A71" s="68"/>
      <c r="B71" s="57"/>
      <c r="C71" s="71" t="s">
        <v>185</v>
      </c>
      <c r="D71" s="35"/>
      <c r="E71" s="35"/>
      <c r="F71" s="35"/>
      <c r="G71" s="36"/>
      <c r="H71" s="143"/>
      <c r="I71" s="48"/>
      <c r="J71" s="57"/>
      <c r="K71" s="57"/>
      <c r="L71" s="57"/>
      <c r="M71" s="57"/>
      <c r="N71" s="57"/>
      <c r="O71" s="57"/>
      <c r="P71" s="57"/>
      <c r="Q71" s="57"/>
      <c r="R71" s="57"/>
      <c r="S71" s="57"/>
      <c r="T71" s="73"/>
      <c r="U71" s="57"/>
      <c r="V71" s="57"/>
      <c r="W71" s="57"/>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row>
    <row r="72" outlineLevel="1">
      <c r="A72" s="68"/>
      <c r="B72" s="50" t="str">
        <f t="shared" ref="B72:B75" si="9">IF(F72="","",$D$3&amp;"."&amp;COUNTA($F$12:F72)&amp;"")</f>
        <v>TC_11.50</v>
      </c>
      <c r="C72" s="51" t="s">
        <v>18</v>
      </c>
      <c r="D72" s="52" t="s">
        <v>186</v>
      </c>
      <c r="E72" s="108" t="s">
        <v>187</v>
      </c>
      <c r="F72" s="114" t="s">
        <v>188</v>
      </c>
      <c r="G72" s="54" t="s">
        <v>189</v>
      </c>
      <c r="H72" s="144"/>
      <c r="I72" s="48"/>
      <c r="J72" s="59"/>
      <c r="K72" s="66"/>
      <c r="L72" s="59"/>
      <c r="M72" s="59"/>
      <c r="N72" s="59"/>
      <c r="O72" s="59"/>
      <c r="P72" s="59"/>
      <c r="Q72" s="59"/>
      <c r="R72" s="59"/>
      <c r="S72" s="59"/>
      <c r="T72" s="80"/>
      <c r="U72" s="59"/>
      <c r="V72" s="59"/>
      <c r="W72" s="59"/>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row>
    <row r="73" outlineLevel="1">
      <c r="A73" s="68"/>
      <c r="B73" s="50" t="str">
        <f t="shared" si="9"/>
        <v>TC_11.51</v>
      </c>
      <c r="C73" s="136" t="s">
        <v>104</v>
      </c>
      <c r="D73" s="110" t="s">
        <v>190</v>
      </c>
      <c r="E73" s="108" t="s">
        <v>187</v>
      </c>
      <c r="F73" s="54" t="s">
        <v>191</v>
      </c>
      <c r="G73" s="114" t="s">
        <v>192</v>
      </c>
      <c r="H73" s="143"/>
      <c r="I73" s="48"/>
      <c r="J73" s="59"/>
      <c r="K73" s="69"/>
      <c r="L73" s="59"/>
      <c r="M73" s="59"/>
      <c r="N73" s="59"/>
      <c r="O73" s="59"/>
      <c r="P73" s="59"/>
      <c r="Q73" s="59"/>
      <c r="R73" s="59"/>
      <c r="S73" s="59"/>
      <c r="T73" s="80"/>
      <c r="U73" s="59"/>
      <c r="V73" s="59"/>
      <c r="W73" s="59"/>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row>
    <row r="74" outlineLevel="1">
      <c r="A74" s="68"/>
      <c r="B74" s="50" t="str">
        <f t="shared" si="9"/>
        <v>TC_11.52</v>
      </c>
      <c r="C74" s="51" t="s">
        <v>18</v>
      </c>
      <c r="D74" s="76" t="s">
        <v>193</v>
      </c>
      <c r="E74" s="108" t="s">
        <v>187</v>
      </c>
      <c r="F74" s="77" t="s">
        <v>194</v>
      </c>
      <c r="G74" s="80" t="s">
        <v>195</v>
      </c>
      <c r="H74" s="143"/>
      <c r="I74" s="48"/>
      <c r="J74" s="59"/>
      <c r="K74" s="69"/>
      <c r="L74" s="59"/>
      <c r="M74" s="59"/>
      <c r="N74" s="59"/>
      <c r="O74" s="59"/>
      <c r="P74" s="59"/>
      <c r="Q74" s="59"/>
      <c r="R74" s="59"/>
      <c r="S74" s="59"/>
      <c r="T74" s="80"/>
      <c r="U74" s="59"/>
      <c r="V74" s="59"/>
      <c r="W74" s="59"/>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row>
    <row r="75" outlineLevel="1">
      <c r="A75" s="68"/>
      <c r="B75" s="50" t="str">
        <f t="shared" si="9"/>
        <v>TC_11.53</v>
      </c>
      <c r="C75" s="51" t="s">
        <v>18</v>
      </c>
      <c r="D75" s="76" t="s">
        <v>196</v>
      </c>
      <c r="E75" s="108" t="s">
        <v>187</v>
      </c>
      <c r="F75" s="77" t="s">
        <v>197</v>
      </c>
      <c r="G75" s="77" t="s">
        <v>198</v>
      </c>
      <c r="H75" s="143"/>
      <c r="I75" s="48"/>
      <c r="J75" s="59"/>
      <c r="K75" s="69"/>
      <c r="L75" s="59"/>
      <c r="M75" s="59"/>
      <c r="N75" s="59"/>
      <c r="O75" s="59"/>
      <c r="P75" s="59"/>
      <c r="Q75" s="59"/>
      <c r="R75" s="59"/>
      <c r="S75" s="59"/>
      <c r="T75" s="80"/>
      <c r="U75" s="59"/>
      <c r="V75" s="59"/>
      <c r="W75" s="59"/>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row>
    <row r="76">
      <c r="A76" s="68"/>
      <c r="B76" s="57"/>
      <c r="C76" s="71" t="s">
        <v>199</v>
      </c>
      <c r="D76" s="35"/>
      <c r="E76" s="35"/>
      <c r="F76" s="35"/>
      <c r="G76" s="36"/>
      <c r="H76" s="143"/>
      <c r="I76" s="48"/>
      <c r="J76" s="57"/>
      <c r="K76" s="57"/>
      <c r="L76" s="57"/>
      <c r="M76" s="57"/>
      <c r="N76" s="57"/>
      <c r="O76" s="57"/>
      <c r="P76" s="57"/>
      <c r="Q76" s="57"/>
      <c r="R76" s="57"/>
      <c r="S76" s="57"/>
      <c r="T76" s="73"/>
      <c r="U76" s="57"/>
      <c r="V76" s="57"/>
      <c r="W76" s="57"/>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row>
    <row r="77" outlineLevel="1">
      <c r="A77" s="68"/>
      <c r="B77" s="50" t="str">
        <f t="shared" ref="B77:B88" si="10">IF(F77="","",$D$3&amp;"."&amp;COUNTA($F$12:F77)&amp;"")</f>
        <v>TC_11.54</v>
      </c>
      <c r="C77" s="105" t="s">
        <v>18</v>
      </c>
      <c r="D77" s="52" t="s">
        <v>200</v>
      </c>
      <c r="E77" s="108" t="s">
        <v>187</v>
      </c>
      <c r="F77" s="114" t="s">
        <v>201</v>
      </c>
      <c r="G77" s="54" t="s">
        <v>202</v>
      </c>
      <c r="H77" s="144"/>
      <c r="I77" s="48"/>
      <c r="J77" s="59"/>
      <c r="K77" s="66"/>
      <c r="L77" s="59"/>
      <c r="M77" s="59"/>
      <c r="N77" s="59"/>
      <c r="O77" s="59"/>
      <c r="P77" s="59"/>
      <c r="Q77" s="59"/>
      <c r="R77" s="59"/>
      <c r="S77" s="59"/>
      <c r="T77" s="80"/>
      <c r="U77" s="59"/>
      <c r="V77" s="59"/>
      <c r="W77" s="59"/>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row>
    <row r="78" outlineLevel="1">
      <c r="A78" s="68"/>
      <c r="B78" s="50" t="str">
        <f t="shared" si="10"/>
        <v>TC_11.55</v>
      </c>
      <c r="C78" s="105" t="s">
        <v>18</v>
      </c>
      <c r="D78" s="84" t="s">
        <v>203</v>
      </c>
      <c r="E78" s="108" t="s">
        <v>204</v>
      </c>
      <c r="F78" s="77" t="s">
        <v>205</v>
      </c>
      <c r="G78" s="77" t="s">
        <v>206</v>
      </c>
      <c r="H78" s="144"/>
      <c r="I78" s="48"/>
      <c r="J78" s="59"/>
      <c r="K78" s="69"/>
      <c r="L78" s="59"/>
      <c r="M78" s="59"/>
      <c r="N78" s="59"/>
      <c r="O78" s="59"/>
      <c r="P78" s="59"/>
      <c r="Q78" s="59"/>
      <c r="R78" s="59"/>
      <c r="S78" s="59"/>
      <c r="T78" s="80"/>
      <c r="U78" s="59"/>
      <c r="V78" s="59"/>
      <c r="W78" s="59"/>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row>
    <row r="79" outlineLevel="1">
      <c r="A79" s="68"/>
      <c r="B79" s="50" t="str">
        <f t="shared" si="10"/>
        <v>TC_11.56</v>
      </c>
      <c r="C79" s="105" t="s">
        <v>18</v>
      </c>
      <c r="D79" s="84" t="s">
        <v>207</v>
      </c>
      <c r="E79" s="108" t="s">
        <v>187</v>
      </c>
      <c r="F79" s="77" t="s">
        <v>208</v>
      </c>
      <c r="G79" s="80" t="s">
        <v>209</v>
      </c>
      <c r="H79" s="144"/>
      <c r="I79" s="48"/>
      <c r="J79" s="59"/>
      <c r="K79" s="69"/>
      <c r="L79" s="59"/>
      <c r="M79" s="59"/>
      <c r="N79" s="59"/>
      <c r="O79" s="59"/>
      <c r="P79" s="59"/>
      <c r="Q79" s="59"/>
      <c r="R79" s="59"/>
      <c r="S79" s="59"/>
      <c r="T79" s="80"/>
      <c r="U79" s="59"/>
      <c r="V79" s="59"/>
      <c r="W79" s="59"/>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row>
    <row r="80" outlineLevel="1">
      <c r="A80" s="68"/>
      <c r="B80" s="50" t="str">
        <f t="shared" si="10"/>
        <v>TC_11.57</v>
      </c>
      <c r="C80" s="103" t="s">
        <v>104</v>
      </c>
      <c r="D80" s="84" t="s">
        <v>210</v>
      </c>
      <c r="E80" s="108" t="s">
        <v>187</v>
      </c>
      <c r="F80" s="77" t="s">
        <v>211</v>
      </c>
      <c r="G80" s="78" t="s">
        <v>212</v>
      </c>
      <c r="H80" s="144"/>
      <c r="I80" s="48"/>
      <c r="J80" s="59"/>
      <c r="K80" s="69"/>
      <c r="L80" s="58"/>
      <c r="M80" s="86"/>
      <c r="N80" s="86"/>
      <c r="O80" s="87"/>
      <c r="P80" s="58"/>
      <c r="Q80" s="86"/>
      <c r="R80" s="86"/>
      <c r="S80" s="87"/>
      <c r="T80" s="56"/>
      <c r="U80" s="86"/>
      <c r="V80" s="86"/>
      <c r="W80" s="87"/>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row>
    <row r="81" outlineLevel="1">
      <c r="A81" s="68"/>
      <c r="B81" s="50" t="str">
        <f t="shared" si="10"/>
        <v>TC_11.58</v>
      </c>
      <c r="C81" s="75" t="s">
        <v>18</v>
      </c>
      <c r="D81" s="84" t="s">
        <v>213</v>
      </c>
      <c r="E81" s="108" t="s">
        <v>187</v>
      </c>
      <c r="F81" s="77" t="s">
        <v>214</v>
      </c>
      <c r="G81" s="78" t="s">
        <v>215</v>
      </c>
      <c r="H81" s="144"/>
      <c r="I81" s="48"/>
      <c r="J81" s="59"/>
      <c r="K81" s="69"/>
      <c r="L81" s="58"/>
      <c r="M81" s="86"/>
      <c r="N81" s="86"/>
      <c r="O81" s="87"/>
      <c r="P81" s="58"/>
      <c r="Q81" s="86"/>
      <c r="R81" s="86"/>
      <c r="S81" s="87"/>
      <c r="T81" s="56"/>
      <c r="U81" s="86"/>
      <c r="V81" s="86"/>
      <c r="W81" s="87"/>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row>
    <row r="82" outlineLevel="1">
      <c r="A82" s="68"/>
      <c r="B82" s="50" t="str">
        <f t="shared" si="10"/>
        <v>TC_11.59</v>
      </c>
      <c r="C82" s="75" t="s">
        <v>18</v>
      </c>
      <c r="D82" s="76" t="s">
        <v>216</v>
      </c>
      <c r="E82" s="108" t="s">
        <v>187</v>
      </c>
      <c r="F82" s="77" t="s">
        <v>217</v>
      </c>
      <c r="G82" s="77" t="s">
        <v>218</v>
      </c>
      <c r="H82" s="144"/>
      <c r="I82" s="48"/>
      <c r="J82" s="59"/>
      <c r="K82" s="69"/>
      <c r="L82" s="58"/>
      <c r="M82" s="86"/>
      <c r="N82" s="86"/>
      <c r="O82" s="87"/>
      <c r="P82" s="58"/>
      <c r="Q82" s="86"/>
      <c r="R82" s="86"/>
      <c r="S82" s="87"/>
      <c r="T82" s="56"/>
      <c r="U82" s="86"/>
      <c r="V82" s="86"/>
      <c r="W82" s="87"/>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row>
    <row r="83" outlineLevel="1">
      <c r="A83" s="68"/>
      <c r="B83" s="50" t="str">
        <f t="shared" si="10"/>
        <v>TC_11.60</v>
      </c>
      <c r="C83" s="103" t="s">
        <v>104</v>
      </c>
      <c r="D83" s="84" t="s">
        <v>219</v>
      </c>
      <c r="E83" s="108" t="s">
        <v>187</v>
      </c>
      <c r="F83" s="77" t="s">
        <v>220</v>
      </c>
      <c r="G83" s="78" t="s">
        <v>221</v>
      </c>
      <c r="H83" s="144"/>
      <c r="I83" s="48"/>
      <c r="J83" s="59"/>
      <c r="K83" s="69"/>
      <c r="L83" s="58"/>
      <c r="M83" s="86"/>
      <c r="N83" s="86"/>
      <c r="O83" s="87"/>
      <c r="P83" s="58"/>
      <c r="Q83" s="86"/>
      <c r="R83" s="86"/>
      <c r="S83" s="87"/>
      <c r="T83" s="56"/>
      <c r="U83" s="86"/>
      <c r="V83" s="86"/>
      <c r="W83" s="87"/>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row>
    <row r="84" outlineLevel="1">
      <c r="A84" s="68"/>
      <c r="B84" s="50" t="str">
        <f t="shared" si="10"/>
        <v>TC_11.61</v>
      </c>
      <c r="C84" s="75" t="s">
        <v>18</v>
      </c>
      <c r="D84" s="84" t="s">
        <v>222</v>
      </c>
      <c r="E84" s="108" t="s">
        <v>187</v>
      </c>
      <c r="F84" s="77" t="s">
        <v>223</v>
      </c>
      <c r="G84" s="78" t="s">
        <v>224</v>
      </c>
      <c r="H84" s="144"/>
      <c r="I84" s="48"/>
      <c r="J84" s="59"/>
      <c r="K84" s="69"/>
      <c r="L84" s="58"/>
      <c r="M84" s="86"/>
      <c r="N84" s="86"/>
      <c r="O84" s="87"/>
      <c r="P84" s="58"/>
      <c r="Q84" s="86"/>
      <c r="R84" s="86"/>
      <c r="S84" s="87"/>
      <c r="T84" s="56"/>
      <c r="U84" s="86"/>
      <c r="V84" s="86"/>
      <c r="W84" s="87"/>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row>
    <row r="85" outlineLevel="1">
      <c r="A85" s="68"/>
      <c r="B85" s="50" t="str">
        <f t="shared" si="10"/>
        <v>TC_11.62</v>
      </c>
      <c r="C85" s="75" t="s">
        <v>18</v>
      </c>
      <c r="D85" s="76" t="s">
        <v>225</v>
      </c>
      <c r="E85" s="108" t="s">
        <v>187</v>
      </c>
      <c r="F85" s="77" t="s">
        <v>226</v>
      </c>
      <c r="G85" s="77" t="s">
        <v>218</v>
      </c>
      <c r="H85" s="144"/>
      <c r="I85" s="48"/>
      <c r="J85" s="59"/>
      <c r="K85" s="69"/>
      <c r="L85" s="58"/>
      <c r="M85" s="86"/>
      <c r="N85" s="86"/>
      <c r="O85" s="87"/>
      <c r="P85" s="58"/>
      <c r="Q85" s="86"/>
      <c r="R85" s="86"/>
      <c r="S85" s="87"/>
      <c r="T85" s="56"/>
      <c r="U85" s="86"/>
      <c r="V85" s="86"/>
      <c r="W85" s="87"/>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row>
    <row r="86" outlineLevel="1">
      <c r="A86" s="68"/>
      <c r="B86" s="50" t="str">
        <f t="shared" si="10"/>
        <v>TC_11.63</v>
      </c>
      <c r="C86" s="103" t="s">
        <v>104</v>
      </c>
      <c r="D86" s="84" t="s">
        <v>227</v>
      </c>
      <c r="E86" s="108" t="s">
        <v>187</v>
      </c>
      <c r="F86" s="77" t="s">
        <v>228</v>
      </c>
      <c r="G86" s="78" t="s">
        <v>229</v>
      </c>
      <c r="H86" s="144"/>
      <c r="I86" s="48"/>
      <c r="J86" s="59"/>
      <c r="K86" s="69"/>
      <c r="L86" s="58"/>
      <c r="M86" s="86"/>
      <c r="N86" s="86"/>
      <c r="O86" s="87"/>
      <c r="P86" s="58"/>
      <c r="Q86" s="86"/>
      <c r="R86" s="86"/>
      <c r="S86" s="87"/>
      <c r="T86" s="56"/>
      <c r="U86" s="86"/>
      <c r="V86" s="86"/>
      <c r="W86" s="87"/>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row>
    <row r="87" outlineLevel="1">
      <c r="A87" s="68"/>
      <c r="B87" s="50" t="str">
        <f t="shared" si="10"/>
        <v>TC_11.64</v>
      </c>
      <c r="C87" s="75" t="s">
        <v>18</v>
      </c>
      <c r="D87" s="84" t="s">
        <v>230</v>
      </c>
      <c r="E87" s="108" t="s">
        <v>187</v>
      </c>
      <c r="F87" s="77" t="s">
        <v>231</v>
      </c>
      <c r="G87" s="77" t="s">
        <v>232</v>
      </c>
      <c r="H87" s="144"/>
      <c r="I87" s="48"/>
      <c r="J87" s="59"/>
      <c r="K87" s="69"/>
      <c r="L87" s="58"/>
      <c r="M87" s="86"/>
      <c r="N87" s="86"/>
      <c r="O87" s="87"/>
      <c r="P87" s="58"/>
      <c r="Q87" s="86"/>
      <c r="R87" s="86"/>
      <c r="S87" s="87"/>
      <c r="T87" s="56"/>
      <c r="U87" s="86"/>
      <c r="V87" s="86"/>
      <c r="W87" s="87"/>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row>
    <row r="88" outlineLevel="1">
      <c r="A88" s="68"/>
      <c r="B88" s="50" t="str">
        <f t="shared" si="10"/>
        <v>TC_11.65</v>
      </c>
      <c r="C88" s="75" t="s">
        <v>18</v>
      </c>
      <c r="D88" s="76" t="s">
        <v>233</v>
      </c>
      <c r="E88" s="108" t="s">
        <v>187</v>
      </c>
      <c r="F88" s="77" t="s">
        <v>234</v>
      </c>
      <c r="G88" s="77" t="s">
        <v>218</v>
      </c>
      <c r="H88" s="144"/>
      <c r="I88" s="48"/>
      <c r="J88" s="59"/>
      <c r="K88" s="69"/>
      <c r="L88" s="58"/>
      <c r="M88" s="86"/>
      <c r="N88" s="86"/>
      <c r="O88" s="87"/>
      <c r="P88" s="58"/>
      <c r="Q88" s="86"/>
      <c r="R88" s="86"/>
      <c r="S88" s="87"/>
      <c r="T88" s="56"/>
      <c r="U88" s="86"/>
      <c r="V88" s="86"/>
      <c r="W88" s="87"/>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row>
    <row r="89">
      <c r="A89" s="68"/>
      <c r="B89" s="57"/>
      <c r="C89" s="71" t="s">
        <v>235</v>
      </c>
      <c r="D89" s="35"/>
      <c r="E89" s="35"/>
      <c r="F89" s="35"/>
      <c r="G89" s="36"/>
      <c r="H89" s="143"/>
      <c r="I89" s="48"/>
      <c r="J89" s="57"/>
      <c r="K89" s="57"/>
      <c r="L89" s="57"/>
      <c r="M89" s="57"/>
      <c r="N89" s="57"/>
      <c r="O89" s="57"/>
      <c r="P89" s="57"/>
      <c r="Q89" s="57"/>
      <c r="R89" s="57"/>
      <c r="S89" s="57"/>
      <c r="T89" s="73"/>
      <c r="U89" s="57"/>
      <c r="V89" s="57"/>
      <c r="W89" s="57"/>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row>
    <row r="90" outlineLevel="1">
      <c r="A90" s="68"/>
      <c r="B90" s="50" t="str">
        <f t="shared" ref="B90:B118" si="11">IF(F90="","",$D$3&amp;"."&amp;COUNTA($F$12:F90)&amp;"")</f>
        <v>TC_11.66</v>
      </c>
      <c r="C90" s="136" t="s">
        <v>104</v>
      </c>
      <c r="D90" s="110" t="s">
        <v>236</v>
      </c>
      <c r="E90" s="108" t="s">
        <v>187</v>
      </c>
      <c r="F90" s="54" t="s">
        <v>237</v>
      </c>
      <c r="G90" s="111" t="s">
        <v>238</v>
      </c>
      <c r="H90" s="143"/>
      <c r="I90" s="48"/>
      <c r="J90" s="59"/>
      <c r="K90" s="69"/>
      <c r="L90" s="59"/>
      <c r="M90" s="59"/>
      <c r="N90" s="59"/>
      <c r="O90" s="59"/>
      <c r="P90" s="59"/>
      <c r="Q90" s="59"/>
      <c r="R90" s="59"/>
      <c r="S90" s="59"/>
      <c r="T90" s="80"/>
      <c r="U90" s="59"/>
      <c r="V90" s="59"/>
      <c r="W90" s="59"/>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c r="CA90" s="60"/>
      <c r="CB90" s="60"/>
      <c r="CC90" s="60"/>
      <c r="CD90" s="60"/>
      <c r="CE90" s="60"/>
      <c r="CF90" s="60"/>
      <c r="CG90" s="60"/>
      <c r="CH90" s="60"/>
      <c r="CI90" s="60"/>
      <c r="CJ90" s="60"/>
      <c r="CK90" s="60"/>
    </row>
    <row r="91" outlineLevel="1">
      <c r="A91" s="68"/>
      <c r="B91" s="50" t="str">
        <f t="shared" si="11"/>
        <v>TC_11.67</v>
      </c>
      <c r="C91" s="136" t="s">
        <v>18</v>
      </c>
      <c r="D91" s="113" t="s">
        <v>239</v>
      </c>
      <c r="E91" s="108" t="s">
        <v>187</v>
      </c>
      <c r="F91" s="114" t="s">
        <v>240</v>
      </c>
      <c r="G91" s="115" t="s">
        <v>241</v>
      </c>
      <c r="H91" s="143"/>
      <c r="I91" s="48"/>
      <c r="J91" s="59"/>
      <c r="K91" s="69"/>
      <c r="L91" s="59"/>
      <c r="M91" s="59"/>
      <c r="N91" s="59"/>
      <c r="O91" s="59"/>
      <c r="P91" s="59"/>
      <c r="Q91" s="59"/>
      <c r="R91" s="59"/>
      <c r="S91" s="59"/>
      <c r="T91" s="80"/>
      <c r="U91" s="59"/>
      <c r="V91" s="59"/>
      <c r="W91" s="59"/>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c r="CF91" s="60"/>
      <c r="CG91" s="60"/>
      <c r="CH91" s="60"/>
      <c r="CI91" s="60"/>
      <c r="CJ91" s="60"/>
      <c r="CK91" s="60"/>
    </row>
    <row r="92" outlineLevel="1">
      <c r="A92" s="68"/>
      <c r="B92" s="50" t="str">
        <f t="shared" si="11"/>
        <v>TC_11.68</v>
      </c>
      <c r="C92" s="136" t="s">
        <v>18</v>
      </c>
      <c r="D92" s="76" t="s">
        <v>242</v>
      </c>
      <c r="E92" s="108" t="s">
        <v>187</v>
      </c>
      <c r="F92" s="77" t="s">
        <v>243</v>
      </c>
      <c r="G92" s="77" t="s">
        <v>244</v>
      </c>
      <c r="H92" s="143"/>
      <c r="I92" s="48"/>
      <c r="J92" s="54"/>
      <c r="K92" s="69"/>
      <c r="L92" s="59"/>
      <c r="M92" s="59"/>
      <c r="N92" s="59"/>
      <c r="O92" s="59"/>
      <c r="P92" s="59"/>
      <c r="Q92" s="59"/>
      <c r="R92" s="59"/>
      <c r="S92" s="59"/>
      <c r="T92" s="80"/>
      <c r="U92" s="59"/>
      <c r="V92" s="59"/>
      <c r="W92" s="59"/>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c r="CF92" s="60"/>
      <c r="CG92" s="60"/>
      <c r="CH92" s="60"/>
      <c r="CI92" s="60"/>
      <c r="CJ92" s="60"/>
      <c r="CK92" s="60"/>
    </row>
    <row r="93" outlineLevel="1">
      <c r="A93" s="68"/>
      <c r="B93" s="50" t="str">
        <f t="shared" si="11"/>
        <v>TC_11.69</v>
      </c>
      <c r="C93" s="136" t="s">
        <v>127</v>
      </c>
      <c r="D93" s="117" t="s">
        <v>245</v>
      </c>
      <c r="E93" s="108" t="s">
        <v>187</v>
      </c>
      <c r="F93" s="77" t="s">
        <v>246</v>
      </c>
      <c r="G93" s="145" t="s">
        <v>247</v>
      </c>
      <c r="H93" s="48"/>
      <c r="I93" s="48"/>
      <c r="J93" s="59"/>
      <c r="K93" s="69"/>
      <c r="L93" s="59"/>
      <c r="M93" s="59"/>
      <c r="N93" s="59"/>
      <c r="O93" s="59"/>
      <c r="P93" s="59"/>
      <c r="Q93" s="59"/>
      <c r="R93" s="59"/>
      <c r="S93" s="59"/>
      <c r="T93" s="80"/>
      <c r="U93" s="59"/>
      <c r="V93" s="59"/>
      <c r="W93" s="59"/>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0"/>
      <c r="BZ93" s="60"/>
      <c r="CA93" s="60"/>
      <c r="CB93" s="60"/>
      <c r="CC93" s="60"/>
      <c r="CD93" s="60"/>
      <c r="CE93" s="60"/>
      <c r="CF93" s="60"/>
      <c r="CG93" s="60"/>
      <c r="CH93" s="60"/>
      <c r="CI93" s="60"/>
      <c r="CJ93" s="60"/>
      <c r="CK93" s="60"/>
    </row>
    <row r="94" outlineLevel="1">
      <c r="A94" s="68"/>
      <c r="B94" s="50" t="str">
        <f t="shared" si="11"/>
        <v>TC_11.70</v>
      </c>
      <c r="C94" s="136" t="s">
        <v>18</v>
      </c>
      <c r="D94" s="146" t="s">
        <v>248</v>
      </c>
      <c r="E94" s="108" t="s">
        <v>187</v>
      </c>
      <c r="F94" s="77" t="s">
        <v>249</v>
      </c>
      <c r="G94" s="147" t="s">
        <v>250</v>
      </c>
      <c r="H94" s="48"/>
      <c r="I94" s="48"/>
      <c r="J94" s="59"/>
      <c r="K94" s="69"/>
      <c r="L94" s="59"/>
      <c r="M94" s="59"/>
      <c r="N94" s="59"/>
      <c r="O94" s="59"/>
      <c r="P94" s="59"/>
      <c r="Q94" s="59"/>
      <c r="R94" s="59"/>
      <c r="S94" s="59"/>
      <c r="T94" s="80"/>
      <c r="U94" s="59"/>
      <c r="V94" s="59"/>
      <c r="W94" s="59"/>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c r="CA94" s="60"/>
      <c r="CB94" s="60"/>
      <c r="CC94" s="60"/>
      <c r="CD94" s="60"/>
      <c r="CE94" s="60"/>
      <c r="CF94" s="60"/>
      <c r="CG94" s="60"/>
      <c r="CH94" s="60"/>
      <c r="CI94" s="60"/>
      <c r="CJ94" s="60"/>
      <c r="CK94" s="60"/>
    </row>
    <row r="95" outlineLevel="1">
      <c r="A95" s="68"/>
      <c r="B95" s="50" t="str">
        <f t="shared" si="11"/>
        <v>TC_11.71</v>
      </c>
      <c r="C95" s="136" t="s">
        <v>18</v>
      </c>
      <c r="D95" s="117" t="s">
        <v>251</v>
      </c>
      <c r="E95" s="148" t="s">
        <v>252</v>
      </c>
      <c r="F95" s="77" t="s">
        <v>253</v>
      </c>
      <c r="G95" s="145" t="s">
        <v>254</v>
      </c>
      <c r="H95" s="143"/>
      <c r="I95" s="48"/>
      <c r="J95" s="59"/>
      <c r="K95" s="69"/>
      <c r="L95" s="59"/>
      <c r="M95" s="59"/>
      <c r="N95" s="59"/>
      <c r="O95" s="59"/>
      <c r="P95" s="59"/>
      <c r="Q95" s="59"/>
      <c r="R95" s="59"/>
      <c r="S95" s="59"/>
      <c r="T95" s="80"/>
      <c r="U95" s="59"/>
      <c r="V95" s="59"/>
      <c r="W95" s="59"/>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c r="CA95" s="60"/>
      <c r="CB95" s="60"/>
      <c r="CC95" s="60"/>
      <c r="CD95" s="60"/>
      <c r="CE95" s="60"/>
      <c r="CF95" s="60"/>
      <c r="CG95" s="60"/>
      <c r="CH95" s="60"/>
      <c r="CI95" s="60"/>
      <c r="CJ95" s="60"/>
      <c r="CK95" s="60"/>
    </row>
    <row r="96">
      <c r="A96" s="68"/>
      <c r="B96" s="57" t="str">
        <f t="shared" si="11"/>
        <v/>
      </c>
      <c r="C96" s="149" t="s">
        <v>255</v>
      </c>
      <c r="D96" s="35"/>
      <c r="E96" s="35"/>
      <c r="F96" s="35"/>
      <c r="G96" s="35"/>
      <c r="H96" s="70"/>
      <c r="I96" s="70"/>
      <c r="J96" s="44"/>
      <c r="K96" s="44"/>
      <c r="L96" s="44"/>
      <c r="M96" s="44"/>
      <c r="N96" s="44"/>
      <c r="O96" s="44"/>
      <c r="P96" s="44"/>
      <c r="Q96" s="44"/>
      <c r="R96" s="44"/>
      <c r="S96" s="44"/>
      <c r="T96" s="106"/>
      <c r="U96" s="44"/>
      <c r="V96" s="44"/>
      <c r="W96" s="44"/>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row>
    <row r="97" outlineLevel="1">
      <c r="A97" s="68"/>
      <c r="B97" s="50" t="str">
        <f t="shared" si="11"/>
        <v>TC_11.72</v>
      </c>
      <c r="C97" s="150" t="s">
        <v>18</v>
      </c>
      <c r="D97" s="151" t="s">
        <v>256</v>
      </c>
      <c r="E97" s="108" t="s">
        <v>129</v>
      </c>
      <c r="F97" s="152" t="s">
        <v>257</v>
      </c>
      <c r="G97" s="153" t="s">
        <v>258</v>
      </c>
      <c r="H97" s="48"/>
      <c r="I97" s="48"/>
      <c r="J97" s="59"/>
      <c r="K97" s="69"/>
      <c r="L97" s="58"/>
      <c r="M97" s="86"/>
      <c r="N97" s="86"/>
      <c r="O97" s="87"/>
      <c r="P97" s="58"/>
      <c r="Q97" s="86"/>
      <c r="R97" s="86"/>
      <c r="S97" s="87"/>
      <c r="T97" s="56"/>
      <c r="U97" s="86"/>
      <c r="V97" s="86"/>
      <c r="W97" s="87"/>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row>
    <row r="98" outlineLevel="1">
      <c r="A98" s="68"/>
      <c r="B98" s="50" t="str">
        <f t="shared" si="11"/>
        <v>TC_11.73</v>
      </c>
      <c r="C98" s="150" t="s">
        <v>18</v>
      </c>
      <c r="D98" s="154" t="s">
        <v>259</v>
      </c>
      <c r="E98" s="108" t="s">
        <v>129</v>
      </c>
      <c r="F98" s="152" t="s">
        <v>260</v>
      </c>
      <c r="G98" s="153" t="s">
        <v>261</v>
      </c>
      <c r="H98" s="48"/>
      <c r="I98" s="48"/>
      <c r="J98" s="59"/>
      <c r="K98" s="69"/>
      <c r="L98" s="58"/>
      <c r="M98" s="86"/>
      <c r="N98" s="86"/>
      <c r="O98" s="87"/>
      <c r="P98" s="58"/>
      <c r="Q98" s="86"/>
      <c r="R98" s="86"/>
      <c r="S98" s="87"/>
      <c r="T98" s="56"/>
      <c r="U98" s="86"/>
      <c r="V98" s="86"/>
      <c r="W98" s="87"/>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row>
    <row r="99" outlineLevel="1">
      <c r="A99" s="68"/>
      <c r="B99" s="50" t="str">
        <f t="shared" si="11"/>
        <v>TC_11.74</v>
      </c>
      <c r="C99" s="150" t="s">
        <v>18</v>
      </c>
      <c r="D99" s="154" t="s">
        <v>262</v>
      </c>
      <c r="E99" s="108" t="s">
        <v>129</v>
      </c>
      <c r="F99" s="152" t="s">
        <v>263</v>
      </c>
      <c r="G99" s="153" t="s">
        <v>264</v>
      </c>
      <c r="H99" s="48"/>
      <c r="I99" s="48"/>
      <c r="J99" s="59"/>
      <c r="K99" s="69"/>
      <c r="L99" s="58"/>
      <c r="M99" s="86"/>
      <c r="N99" s="86"/>
      <c r="O99" s="87"/>
      <c r="P99" s="58"/>
      <c r="Q99" s="86"/>
      <c r="R99" s="86"/>
      <c r="S99" s="87"/>
      <c r="T99" s="56"/>
      <c r="U99" s="86"/>
      <c r="V99" s="86"/>
      <c r="W99" s="87"/>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row>
    <row r="100" outlineLevel="1">
      <c r="A100" s="68"/>
      <c r="B100" s="50" t="str">
        <f t="shared" si="11"/>
        <v>TC_11.75</v>
      </c>
      <c r="C100" s="150" t="s">
        <v>18</v>
      </c>
      <c r="D100" s="154" t="s">
        <v>265</v>
      </c>
      <c r="E100" s="108" t="s">
        <v>129</v>
      </c>
      <c r="F100" s="152" t="s">
        <v>266</v>
      </c>
      <c r="G100" s="153" t="s">
        <v>267</v>
      </c>
      <c r="H100" s="48"/>
      <c r="I100" s="48"/>
      <c r="J100" s="59"/>
      <c r="K100" s="69"/>
      <c r="L100" s="58"/>
      <c r="M100" s="86"/>
      <c r="N100" s="86"/>
      <c r="O100" s="87"/>
      <c r="P100" s="58"/>
      <c r="Q100" s="86"/>
      <c r="R100" s="86"/>
      <c r="S100" s="87"/>
      <c r="T100" s="56"/>
      <c r="U100" s="86"/>
      <c r="V100" s="86"/>
      <c r="W100" s="87"/>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row>
    <row r="101" outlineLevel="1">
      <c r="A101" s="68"/>
      <c r="B101" s="50" t="str">
        <f t="shared" si="11"/>
        <v>TC_11.76</v>
      </c>
      <c r="C101" s="150" t="s">
        <v>18</v>
      </c>
      <c r="D101" s="154" t="s">
        <v>268</v>
      </c>
      <c r="E101" s="108" t="s">
        <v>129</v>
      </c>
      <c r="F101" s="152" t="s">
        <v>269</v>
      </c>
      <c r="G101" s="153" t="s">
        <v>270</v>
      </c>
      <c r="H101" s="48"/>
      <c r="I101" s="48"/>
      <c r="J101" s="59"/>
      <c r="K101" s="69"/>
      <c r="L101" s="58"/>
      <c r="M101" s="86"/>
      <c r="N101" s="86"/>
      <c r="O101" s="87"/>
      <c r="P101" s="58"/>
      <c r="Q101" s="86"/>
      <c r="R101" s="86"/>
      <c r="S101" s="87"/>
      <c r="T101" s="56"/>
      <c r="U101" s="86"/>
      <c r="V101" s="86"/>
      <c r="W101" s="87"/>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row>
    <row r="102" outlineLevel="1">
      <c r="A102" s="68"/>
      <c r="B102" s="50" t="str">
        <f t="shared" si="11"/>
        <v>TC_11.77</v>
      </c>
      <c r="C102" s="150" t="s">
        <v>18</v>
      </c>
      <c r="D102" s="154" t="s">
        <v>271</v>
      </c>
      <c r="E102" s="108" t="s">
        <v>129</v>
      </c>
      <c r="F102" s="152" t="s">
        <v>272</v>
      </c>
      <c r="G102" s="153" t="s">
        <v>273</v>
      </c>
      <c r="H102" s="48"/>
      <c r="I102" s="48"/>
      <c r="J102" s="59"/>
      <c r="K102" s="69"/>
      <c r="L102" s="58"/>
      <c r="M102" s="86"/>
      <c r="N102" s="86"/>
      <c r="O102" s="87"/>
      <c r="P102" s="58"/>
      <c r="Q102" s="86"/>
      <c r="R102" s="86"/>
      <c r="S102" s="87"/>
      <c r="T102" s="56"/>
      <c r="U102" s="86"/>
      <c r="V102" s="86"/>
      <c r="W102" s="87"/>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row>
    <row r="103" outlineLevel="1">
      <c r="A103" s="68"/>
      <c r="B103" s="50" t="str">
        <f t="shared" si="11"/>
        <v>TC_11.78</v>
      </c>
      <c r="C103" s="150" t="s">
        <v>18</v>
      </c>
      <c r="D103" s="154" t="s">
        <v>274</v>
      </c>
      <c r="E103" s="108" t="s">
        <v>129</v>
      </c>
      <c r="F103" s="152" t="s">
        <v>275</v>
      </c>
      <c r="G103" s="153" t="s">
        <v>276</v>
      </c>
      <c r="H103" s="48"/>
      <c r="I103" s="48"/>
      <c r="J103" s="59"/>
      <c r="K103" s="69"/>
      <c r="L103" s="58"/>
      <c r="M103" s="86"/>
      <c r="N103" s="86"/>
      <c r="O103" s="87"/>
      <c r="P103" s="58"/>
      <c r="Q103" s="86"/>
      <c r="R103" s="86"/>
      <c r="S103" s="87"/>
      <c r="T103" s="56"/>
      <c r="U103" s="86"/>
      <c r="V103" s="86"/>
      <c r="W103" s="87"/>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row>
    <row r="104" outlineLevel="1">
      <c r="A104" s="68"/>
      <c r="B104" s="50" t="str">
        <f t="shared" si="11"/>
        <v>TC_11.79</v>
      </c>
      <c r="C104" s="150" t="s">
        <v>18</v>
      </c>
      <c r="D104" s="154" t="s">
        <v>277</v>
      </c>
      <c r="E104" s="108" t="s">
        <v>129</v>
      </c>
      <c r="F104" s="152" t="s">
        <v>278</v>
      </c>
      <c r="G104" s="153" t="s">
        <v>264</v>
      </c>
      <c r="H104" s="48"/>
      <c r="I104" s="48"/>
      <c r="J104" s="59"/>
      <c r="K104" s="69"/>
      <c r="L104" s="58"/>
      <c r="M104" s="86"/>
      <c r="N104" s="86"/>
      <c r="O104" s="87"/>
      <c r="P104" s="58"/>
      <c r="Q104" s="86"/>
      <c r="R104" s="86"/>
      <c r="S104" s="87"/>
      <c r="T104" s="56"/>
      <c r="U104" s="86"/>
      <c r="V104" s="86"/>
      <c r="W104" s="87"/>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row>
    <row r="105" outlineLevel="1">
      <c r="A105" s="68"/>
      <c r="B105" s="50" t="str">
        <f t="shared" si="11"/>
        <v>TC_11.80</v>
      </c>
      <c r="C105" s="150" t="s">
        <v>18</v>
      </c>
      <c r="D105" s="154" t="s">
        <v>279</v>
      </c>
      <c r="E105" s="108" t="s">
        <v>129</v>
      </c>
      <c r="F105" s="152" t="s">
        <v>280</v>
      </c>
      <c r="G105" s="153" t="s">
        <v>267</v>
      </c>
      <c r="H105" s="48"/>
      <c r="I105" s="48"/>
      <c r="J105" s="59"/>
      <c r="K105" s="69"/>
      <c r="L105" s="58"/>
      <c r="M105" s="86"/>
      <c r="N105" s="86"/>
      <c r="O105" s="87"/>
      <c r="P105" s="58"/>
      <c r="Q105" s="86"/>
      <c r="R105" s="86"/>
      <c r="S105" s="87"/>
      <c r="T105" s="56"/>
      <c r="U105" s="86"/>
      <c r="V105" s="86"/>
      <c r="W105" s="87"/>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row>
    <row r="106" outlineLevel="1">
      <c r="A106" s="68"/>
      <c r="B106" s="50" t="str">
        <f t="shared" si="11"/>
        <v>TC_11.81</v>
      </c>
      <c r="C106" s="150" t="s">
        <v>18</v>
      </c>
      <c r="D106" s="154" t="s">
        <v>281</v>
      </c>
      <c r="E106" s="108" t="s">
        <v>129</v>
      </c>
      <c r="F106" s="152" t="s">
        <v>282</v>
      </c>
      <c r="G106" s="153" t="s">
        <v>283</v>
      </c>
      <c r="H106" s="48"/>
      <c r="I106" s="48"/>
      <c r="J106" s="59"/>
      <c r="K106" s="69"/>
      <c r="L106" s="58"/>
      <c r="M106" s="86"/>
      <c r="N106" s="86"/>
      <c r="O106" s="87"/>
      <c r="P106" s="58"/>
      <c r="Q106" s="86"/>
      <c r="R106" s="86"/>
      <c r="S106" s="87"/>
      <c r="T106" s="56"/>
      <c r="U106" s="86"/>
      <c r="V106" s="86"/>
      <c r="W106" s="87"/>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row>
    <row r="107" outlineLevel="1">
      <c r="A107" s="68"/>
      <c r="B107" s="50" t="str">
        <f t="shared" si="11"/>
        <v>TC_11.82</v>
      </c>
      <c r="C107" s="150" t="s">
        <v>18</v>
      </c>
      <c r="D107" s="154" t="s">
        <v>284</v>
      </c>
      <c r="E107" s="108" t="s">
        <v>129</v>
      </c>
      <c r="F107" s="152" t="s">
        <v>285</v>
      </c>
      <c r="G107" s="153" t="s">
        <v>286</v>
      </c>
      <c r="H107" s="48"/>
      <c r="I107" s="48"/>
      <c r="J107" s="59"/>
      <c r="K107" s="69"/>
      <c r="L107" s="58"/>
      <c r="M107" s="86"/>
      <c r="N107" s="86"/>
      <c r="O107" s="87"/>
      <c r="P107" s="58"/>
      <c r="Q107" s="86"/>
      <c r="R107" s="86"/>
      <c r="S107" s="87"/>
      <c r="T107" s="56"/>
      <c r="U107" s="86"/>
      <c r="V107" s="86"/>
      <c r="W107" s="87"/>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row>
    <row r="108" outlineLevel="1">
      <c r="A108" s="68"/>
      <c r="B108" s="50" t="str">
        <f t="shared" si="11"/>
        <v>TC_11.83</v>
      </c>
      <c r="C108" s="155" t="s">
        <v>18</v>
      </c>
      <c r="D108" s="154" t="s">
        <v>287</v>
      </c>
      <c r="E108" s="108" t="s">
        <v>129</v>
      </c>
      <c r="F108" s="152" t="s">
        <v>288</v>
      </c>
      <c r="G108" s="153" t="s">
        <v>264</v>
      </c>
      <c r="H108" s="48"/>
      <c r="I108" s="48"/>
      <c r="J108" s="59"/>
      <c r="K108" s="69"/>
      <c r="L108" s="58"/>
      <c r="M108" s="86"/>
      <c r="N108" s="86"/>
      <c r="O108" s="87"/>
      <c r="P108" s="58"/>
      <c r="Q108" s="86"/>
      <c r="R108" s="86"/>
      <c r="S108" s="87"/>
      <c r="T108" s="56"/>
      <c r="U108" s="86"/>
      <c r="V108" s="86"/>
      <c r="W108" s="87"/>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row>
    <row r="109" outlineLevel="1">
      <c r="A109" s="68"/>
      <c r="B109" s="50" t="str">
        <f t="shared" si="11"/>
        <v>TC_11.84</v>
      </c>
      <c r="C109" s="155" t="s">
        <v>18</v>
      </c>
      <c r="D109" s="154" t="s">
        <v>289</v>
      </c>
      <c r="E109" s="108" t="s">
        <v>129</v>
      </c>
      <c r="F109" s="152" t="s">
        <v>290</v>
      </c>
      <c r="G109" s="153" t="s">
        <v>291</v>
      </c>
      <c r="H109" s="48"/>
      <c r="I109" s="48"/>
      <c r="J109" s="59"/>
      <c r="K109" s="69"/>
      <c r="L109" s="58"/>
      <c r="M109" s="86"/>
      <c r="N109" s="86"/>
      <c r="O109" s="87"/>
      <c r="P109" s="58"/>
      <c r="Q109" s="86"/>
      <c r="R109" s="86"/>
      <c r="S109" s="87"/>
      <c r="T109" s="56"/>
      <c r="U109" s="86"/>
      <c r="V109" s="86"/>
      <c r="W109" s="87"/>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row>
    <row r="110" outlineLevel="1">
      <c r="A110" s="68"/>
      <c r="B110" s="50" t="str">
        <f t="shared" si="11"/>
        <v>TC_11.85</v>
      </c>
      <c r="C110" s="155" t="s">
        <v>18</v>
      </c>
      <c r="D110" s="154" t="s">
        <v>292</v>
      </c>
      <c r="E110" s="108" t="s">
        <v>129</v>
      </c>
      <c r="F110" s="152" t="s">
        <v>293</v>
      </c>
      <c r="G110" s="156" t="s">
        <v>294</v>
      </c>
      <c r="H110" s="48"/>
      <c r="I110" s="48"/>
      <c r="J110" s="59"/>
      <c r="K110" s="69"/>
      <c r="L110" s="58"/>
      <c r="M110" s="86"/>
      <c r="N110" s="86"/>
      <c r="O110" s="87"/>
      <c r="P110" s="58"/>
      <c r="Q110" s="86"/>
      <c r="R110" s="86"/>
      <c r="S110" s="87"/>
      <c r="T110" s="56"/>
      <c r="U110" s="86"/>
      <c r="V110" s="86"/>
      <c r="W110" s="87"/>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row>
    <row r="111" outlineLevel="1">
      <c r="A111" s="68"/>
      <c r="B111" s="50" t="str">
        <f t="shared" si="11"/>
        <v>TC_11.86</v>
      </c>
      <c r="C111" s="155" t="s">
        <v>18</v>
      </c>
      <c r="D111" s="154" t="s">
        <v>295</v>
      </c>
      <c r="E111" s="108" t="s">
        <v>129</v>
      </c>
      <c r="F111" s="152" t="s">
        <v>296</v>
      </c>
      <c r="G111" s="153" t="s">
        <v>264</v>
      </c>
      <c r="H111" s="48"/>
      <c r="I111" s="48"/>
      <c r="J111" s="54"/>
      <c r="K111" s="69"/>
      <c r="L111" s="58"/>
      <c r="M111" s="86"/>
      <c r="N111" s="86"/>
      <c r="O111" s="87"/>
      <c r="P111" s="58"/>
      <c r="Q111" s="86"/>
      <c r="R111" s="86"/>
      <c r="S111" s="87"/>
      <c r="T111" s="56"/>
      <c r="U111" s="86"/>
      <c r="V111" s="86"/>
      <c r="W111" s="87"/>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row>
    <row r="112" outlineLevel="1">
      <c r="A112" s="68"/>
      <c r="B112" s="50" t="str">
        <f t="shared" si="11"/>
        <v>TC_11.87</v>
      </c>
      <c r="C112" s="155" t="s">
        <v>18</v>
      </c>
      <c r="D112" s="154" t="s">
        <v>297</v>
      </c>
      <c r="E112" s="108" t="s">
        <v>129</v>
      </c>
      <c r="F112" s="152" t="s">
        <v>298</v>
      </c>
      <c r="G112" s="153" t="s">
        <v>291</v>
      </c>
      <c r="H112" s="48"/>
      <c r="I112" s="48"/>
      <c r="J112" s="59"/>
      <c r="K112" s="69"/>
      <c r="L112" s="58"/>
      <c r="M112" s="86"/>
      <c r="N112" s="86"/>
      <c r="O112" s="87"/>
      <c r="P112" s="58"/>
      <c r="Q112" s="86"/>
      <c r="R112" s="86"/>
      <c r="S112" s="87"/>
      <c r="T112" s="56"/>
      <c r="U112" s="86"/>
      <c r="V112" s="86"/>
      <c r="W112" s="87"/>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row>
    <row r="113" outlineLevel="1">
      <c r="A113" s="68"/>
      <c r="B113" s="50" t="str">
        <f t="shared" si="11"/>
        <v>TC_11.88</v>
      </c>
      <c r="C113" s="155" t="s">
        <v>18</v>
      </c>
      <c r="D113" s="154" t="s">
        <v>299</v>
      </c>
      <c r="E113" s="108" t="s">
        <v>129</v>
      </c>
      <c r="F113" s="152" t="s">
        <v>300</v>
      </c>
      <c r="G113" s="153" t="s">
        <v>301</v>
      </c>
      <c r="H113" s="48"/>
      <c r="I113" s="48"/>
      <c r="J113" s="59"/>
      <c r="K113" s="69"/>
      <c r="L113" s="58"/>
      <c r="M113" s="86"/>
      <c r="N113" s="86"/>
      <c r="O113" s="87"/>
      <c r="P113" s="58"/>
      <c r="Q113" s="86"/>
      <c r="R113" s="86"/>
      <c r="S113" s="87"/>
      <c r="T113" s="56"/>
      <c r="U113" s="86"/>
      <c r="V113" s="86"/>
      <c r="W113" s="87"/>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row>
    <row r="114" outlineLevel="1">
      <c r="A114" s="68"/>
      <c r="B114" s="50" t="str">
        <f t="shared" si="11"/>
        <v>TC_11.89</v>
      </c>
      <c r="C114" s="155" t="s">
        <v>18</v>
      </c>
      <c r="D114" s="154" t="s">
        <v>302</v>
      </c>
      <c r="E114" s="108" t="s">
        <v>129</v>
      </c>
      <c r="F114" s="152" t="s">
        <v>303</v>
      </c>
      <c r="G114" s="153" t="s">
        <v>273</v>
      </c>
      <c r="H114" s="48"/>
      <c r="I114" s="48"/>
      <c r="J114" s="59"/>
      <c r="K114" s="69"/>
      <c r="L114" s="58"/>
      <c r="M114" s="86"/>
      <c r="N114" s="86"/>
      <c r="O114" s="87"/>
      <c r="P114" s="58"/>
      <c r="Q114" s="86"/>
      <c r="R114" s="86"/>
      <c r="S114" s="87"/>
      <c r="T114" s="56"/>
      <c r="U114" s="86"/>
      <c r="V114" s="86"/>
      <c r="W114" s="87"/>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row>
    <row r="115" outlineLevel="1">
      <c r="A115" s="68"/>
      <c r="B115" s="50" t="str">
        <f t="shared" si="11"/>
        <v>TC_11.90</v>
      </c>
      <c r="C115" s="155" t="s">
        <v>127</v>
      </c>
      <c r="D115" s="154" t="s">
        <v>304</v>
      </c>
      <c r="E115" s="108" t="s">
        <v>129</v>
      </c>
      <c r="F115" s="152" t="s">
        <v>305</v>
      </c>
      <c r="G115" s="157" t="s">
        <v>306</v>
      </c>
      <c r="H115" s="48"/>
      <c r="I115" s="48"/>
      <c r="J115" s="59"/>
      <c r="K115" s="69"/>
      <c r="L115" s="58"/>
      <c r="M115" s="86"/>
      <c r="N115" s="86"/>
      <c r="O115" s="87"/>
      <c r="P115" s="58"/>
      <c r="Q115" s="86"/>
      <c r="R115" s="86"/>
      <c r="S115" s="87"/>
      <c r="T115" s="56"/>
      <c r="U115" s="86"/>
      <c r="V115" s="86"/>
      <c r="W115" s="87"/>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row>
    <row r="116" outlineLevel="1">
      <c r="A116" s="68"/>
      <c r="B116" s="50" t="str">
        <f t="shared" si="11"/>
        <v>TC_11.91</v>
      </c>
      <c r="C116" s="155" t="s">
        <v>127</v>
      </c>
      <c r="D116" s="154" t="s">
        <v>307</v>
      </c>
      <c r="E116" s="108" t="s">
        <v>129</v>
      </c>
      <c r="F116" s="152" t="s">
        <v>308</v>
      </c>
      <c r="G116" s="157" t="s">
        <v>309</v>
      </c>
      <c r="H116" s="48"/>
      <c r="I116" s="48"/>
      <c r="J116" s="59"/>
      <c r="K116" s="69"/>
      <c r="L116" s="58"/>
      <c r="M116" s="86"/>
      <c r="N116" s="86"/>
      <c r="O116" s="87"/>
      <c r="P116" s="58"/>
      <c r="Q116" s="86"/>
      <c r="R116" s="86"/>
      <c r="S116" s="87"/>
      <c r="T116" s="56"/>
      <c r="U116" s="86"/>
      <c r="V116" s="86"/>
      <c r="W116" s="87"/>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row>
    <row r="117" outlineLevel="1">
      <c r="A117" s="68"/>
      <c r="B117" s="50" t="str">
        <f t="shared" si="11"/>
        <v>TC_11.92</v>
      </c>
      <c r="C117" s="155" t="s">
        <v>127</v>
      </c>
      <c r="D117" s="154" t="s">
        <v>310</v>
      </c>
      <c r="E117" s="108" t="s">
        <v>129</v>
      </c>
      <c r="F117" s="152" t="s">
        <v>311</v>
      </c>
      <c r="G117" s="157" t="s">
        <v>312</v>
      </c>
      <c r="H117" s="48"/>
      <c r="I117" s="48"/>
      <c r="J117" s="59"/>
      <c r="K117" s="69"/>
      <c r="L117" s="58"/>
      <c r="M117" s="86"/>
      <c r="N117" s="86"/>
      <c r="O117" s="87"/>
      <c r="P117" s="58"/>
      <c r="Q117" s="86"/>
      <c r="R117" s="86"/>
      <c r="S117" s="87"/>
      <c r="T117" s="56"/>
      <c r="U117" s="86"/>
      <c r="V117" s="86"/>
      <c r="W117" s="87"/>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row>
    <row r="118" outlineLevel="1">
      <c r="A118" s="68"/>
      <c r="B118" s="50" t="str">
        <f t="shared" si="11"/>
        <v>TC_11.93</v>
      </c>
      <c r="C118" s="155" t="s">
        <v>127</v>
      </c>
      <c r="D118" s="154" t="s">
        <v>313</v>
      </c>
      <c r="E118" s="108" t="s">
        <v>129</v>
      </c>
      <c r="F118" s="152" t="s">
        <v>314</v>
      </c>
      <c r="G118" s="158" t="s">
        <v>315</v>
      </c>
      <c r="H118" s="48"/>
      <c r="I118" s="48"/>
      <c r="J118" s="59"/>
      <c r="K118" s="69"/>
      <c r="L118" s="58"/>
      <c r="M118" s="86"/>
      <c r="N118" s="86"/>
      <c r="O118" s="87"/>
      <c r="P118" s="58"/>
      <c r="Q118" s="86"/>
      <c r="R118" s="86"/>
      <c r="S118" s="87"/>
      <c r="T118" s="56"/>
      <c r="U118" s="86"/>
      <c r="V118" s="86"/>
      <c r="W118" s="87"/>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row>
    <row r="119">
      <c r="A119" s="68"/>
      <c r="B119" s="49" t="s">
        <v>316</v>
      </c>
      <c r="C119" s="35"/>
      <c r="D119" s="35"/>
      <c r="E119" s="35"/>
      <c r="F119" s="35"/>
      <c r="G119" s="36"/>
      <c r="H119" s="70"/>
      <c r="I119" s="70"/>
      <c r="J119" s="59"/>
      <c r="K119" s="44"/>
      <c r="L119" s="106"/>
      <c r="M119" s="106"/>
      <c r="N119" s="44"/>
      <c r="O119" s="44"/>
      <c r="P119" s="106"/>
      <c r="Q119" s="106"/>
      <c r="R119" s="106"/>
      <c r="S119" s="44"/>
      <c r="T119" s="106"/>
      <c r="U119" s="106"/>
      <c r="V119" s="44"/>
      <c r="W119" s="44"/>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row>
    <row r="120" outlineLevel="1">
      <c r="A120" s="68"/>
      <c r="B120" s="86" t="str">
        <f t="shared" ref="B120:B124" si="12">IF(F120="","",$D$3&amp;"."&amp;COUNTA($F$9:F120)&amp;"")</f>
        <v>TC_11.94</v>
      </c>
      <c r="C120" s="155" t="s">
        <v>18</v>
      </c>
      <c r="D120" s="159" t="s">
        <v>317</v>
      </c>
      <c r="E120" s="108" t="s">
        <v>318</v>
      </c>
      <c r="F120" s="160" t="s">
        <v>319</v>
      </c>
      <c r="G120" s="158" t="s">
        <v>320</v>
      </c>
      <c r="H120" s="48"/>
      <c r="I120" s="48"/>
      <c r="J120" s="59"/>
      <c r="K120" s="85"/>
      <c r="L120" s="86"/>
      <c r="M120" s="87"/>
      <c r="N120" s="58"/>
      <c r="O120" s="86"/>
      <c r="P120" s="86"/>
      <c r="Q120" s="87"/>
      <c r="R120" s="56"/>
      <c r="S120" s="86"/>
      <c r="T120" s="86"/>
      <c r="U120" s="87"/>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row>
    <row r="121" outlineLevel="1">
      <c r="A121" s="68"/>
      <c r="B121" s="86" t="str">
        <f t="shared" si="12"/>
        <v>TC_11.95</v>
      </c>
      <c r="C121" s="155" t="s">
        <v>18</v>
      </c>
      <c r="D121" s="159" t="s">
        <v>321</v>
      </c>
      <c r="E121" s="108" t="s">
        <v>318</v>
      </c>
      <c r="F121" s="160" t="s">
        <v>322</v>
      </c>
      <c r="G121" s="158" t="s">
        <v>323</v>
      </c>
      <c r="H121" s="48"/>
      <c r="I121" s="89"/>
      <c r="J121" s="59"/>
      <c r="K121" s="85"/>
      <c r="L121" s="86"/>
      <c r="M121" s="87"/>
      <c r="N121" s="58"/>
      <c r="O121" s="86"/>
      <c r="P121" s="86"/>
      <c r="Q121" s="87"/>
      <c r="R121" s="56"/>
      <c r="S121" s="86"/>
      <c r="T121" s="86"/>
      <c r="U121" s="87"/>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row>
    <row r="122" outlineLevel="1">
      <c r="A122" s="68"/>
      <c r="B122" s="86" t="str">
        <f t="shared" si="12"/>
        <v>TC_11.96</v>
      </c>
      <c r="C122" s="155" t="s">
        <v>18</v>
      </c>
      <c r="D122" s="159" t="s">
        <v>324</v>
      </c>
      <c r="E122" s="108" t="s">
        <v>318</v>
      </c>
      <c r="F122" s="160" t="s">
        <v>325</v>
      </c>
      <c r="G122" s="158" t="s">
        <v>326</v>
      </c>
      <c r="H122" s="48"/>
      <c r="I122" s="89"/>
      <c r="J122" s="161"/>
      <c r="K122" s="97"/>
      <c r="L122" s="86"/>
      <c r="M122" s="87"/>
      <c r="N122" s="58"/>
      <c r="O122" s="86"/>
      <c r="P122" s="86"/>
      <c r="Q122" s="87"/>
      <c r="R122" s="56"/>
      <c r="S122" s="86"/>
      <c r="T122" s="86"/>
      <c r="U122" s="87"/>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row>
    <row r="123" outlineLevel="1">
      <c r="A123" s="46"/>
      <c r="B123" s="86" t="str">
        <f t="shared" si="12"/>
        <v>TC_11.97</v>
      </c>
      <c r="C123" s="155" t="s">
        <v>18</v>
      </c>
      <c r="D123" s="159" t="s">
        <v>327</v>
      </c>
      <c r="E123" s="108" t="s">
        <v>318</v>
      </c>
      <c r="F123" s="160" t="s">
        <v>328</v>
      </c>
      <c r="G123" s="158" t="s">
        <v>329</v>
      </c>
      <c r="H123" s="48"/>
      <c r="I123" s="89"/>
      <c r="J123" s="161"/>
      <c r="K123" s="97"/>
      <c r="L123" s="86"/>
      <c r="M123" s="87"/>
      <c r="N123" s="58"/>
      <c r="O123" s="86"/>
      <c r="P123" s="86"/>
      <c r="Q123" s="87"/>
      <c r="R123" s="56"/>
      <c r="S123" s="86"/>
      <c r="T123" s="86"/>
      <c r="U123" s="87"/>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row>
    <row r="124" outlineLevel="1">
      <c r="A124" s="68"/>
      <c r="B124" s="86" t="str">
        <f t="shared" si="12"/>
        <v>TC_11.98</v>
      </c>
      <c r="C124" s="155" t="s">
        <v>18</v>
      </c>
      <c r="D124" s="83" t="s">
        <v>330</v>
      </c>
      <c r="E124" s="108" t="s">
        <v>318</v>
      </c>
      <c r="F124" s="162" t="s">
        <v>331</v>
      </c>
      <c r="G124" s="54" t="s">
        <v>332</v>
      </c>
      <c r="H124" s="48"/>
      <c r="I124" s="89"/>
      <c r="J124" s="59"/>
      <c r="K124" s="85"/>
      <c r="L124" s="86"/>
      <c r="M124" s="87"/>
      <c r="N124" s="58"/>
      <c r="O124" s="86"/>
      <c r="P124" s="86"/>
      <c r="Q124" s="87"/>
      <c r="R124" s="56"/>
      <c r="S124" s="86"/>
      <c r="T124" s="86"/>
      <c r="U124" s="87"/>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row>
    <row r="125">
      <c r="A125" s="68"/>
      <c r="B125" s="49" t="s">
        <v>333</v>
      </c>
      <c r="C125" s="35"/>
      <c r="D125" s="35"/>
      <c r="E125" s="35"/>
      <c r="F125" s="35"/>
      <c r="G125" s="36"/>
      <c r="H125" s="163"/>
      <c r="I125" s="70"/>
      <c r="J125" s="59"/>
      <c r="K125" s="44"/>
      <c r="L125" s="44"/>
      <c r="M125" s="44"/>
      <c r="N125" s="44"/>
      <c r="O125" s="44"/>
      <c r="P125" s="44"/>
      <c r="Q125" s="44"/>
      <c r="R125" s="44"/>
      <c r="S125" s="44"/>
      <c r="T125" s="106"/>
      <c r="U125" s="44"/>
      <c r="V125" s="44"/>
      <c r="W125" s="44"/>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row>
    <row r="126" outlineLevel="1">
      <c r="A126" s="64"/>
      <c r="B126" s="50" t="str">
        <f t="shared" ref="B126:B135" si="13">IF(F126="","",$D$3&amp;"."&amp;COUNTA($F$12:F126)&amp;"")</f>
        <v>TC_11.99</v>
      </c>
      <c r="C126" s="51" t="s">
        <v>127</v>
      </c>
      <c r="D126" s="65" t="s">
        <v>334</v>
      </c>
      <c r="E126" s="108" t="s">
        <v>335</v>
      </c>
      <c r="F126" s="54" t="s">
        <v>336</v>
      </c>
      <c r="G126" s="80" t="s">
        <v>337</v>
      </c>
      <c r="H126" s="48"/>
      <c r="I126" s="48"/>
      <c r="J126" s="54"/>
      <c r="K126" s="85"/>
      <c r="L126" s="58"/>
      <c r="M126" s="86"/>
      <c r="N126" s="86"/>
      <c r="O126" s="87"/>
      <c r="P126" s="58"/>
      <c r="Q126" s="86"/>
      <c r="R126" s="86"/>
      <c r="S126" s="87"/>
      <c r="T126" s="56"/>
      <c r="U126" s="86"/>
      <c r="V126" s="86"/>
      <c r="W126" s="87"/>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row>
    <row r="127" outlineLevel="1">
      <c r="A127" s="68"/>
      <c r="B127" s="50" t="str">
        <f t="shared" si="13"/>
        <v>TC_11.100</v>
      </c>
      <c r="C127" s="51" t="s">
        <v>127</v>
      </c>
      <c r="D127" s="52" t="s">
        <v>338</v>
      </c>
      <c r="E127" s="108" t="s">
        <v>318</v>
      </c>
      <c r="F127" s="54" t="s">
        <v>339</v>
      </c>
      <c r="G127" s="54" t="s">
        <v>340</v>
      </c>
      <c r="H127" s="48"/>
      <c r="I127" s="48"/>
      <c r="J127" s="54"/>
      <c r="K127" s="85"/>
      <c r="L127" s="58"/>
      <c r="M127" s="86"/>
      <c r="N127" s="86"/>
      <c r="O127" s="87"/>
      <c r="P127" s="58"/>
      <c r="Q127" s="86"/>
      <c r="R127" s="86"/>
      <c r="S127" s="87"/>
      <c r="T127" s="56"/>
      <c r="U127" s="86"/>
      <c r="V127" s="86"/>
      <c r="W127" s="87"/>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row>
    <row r="128" outlineLevel="1">
      <c r="A128" s="68"/>
      <c r="B128" s="50" t="str">
        <f t="shared" si="13"/>
        <v>TC_11.101</v>
      </c>
      <c r="C128" s="51" t="s">
        <v>127</v>
      </c>
      <c r="D128" s="52" t="s">
        <v>341</v>
      </c>
      <c r="E128" s="108" t="s">
        <v>318</v>
      </c>
      <c r="F128" s="54" t="s">
        <v>342</v>
      </c>
      <c r="G128" s="54" t="s">
        <v>343</v>
      </c>
      <c r="H128" s="48"/>
      <c r="I128" s="48"/>
      <c r="J128" s="54"/>
      <c r="K128" s="85"/>
      <c r="L128" s="58"/>
      <c r="M128" s="86"/>
      <c r="N128" s="86"/>
      <c r="O128" s="87"/>
      <c r="P128" s="58"/>
      <c r="Q128" s="86"/>
      <c r="R128" s="86"/>
      <c r="S128" s="87"/>
      <c r="T128" s="56"/>
      <c r="U128" s="86"/>
      <c r="V128" s="86"/>
      <c r="W128" s="87"/>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row>
    <row r="129" outlineLevel="1">
      <c r="A129" s="68"/>
      <c r="B129" s="50" t="str">
        <f t="shared" si="13"/>
        <v>TC_11.102</v>
      </c>
      <c r="C129" s="51" t="s">
        <v>127</v>
      </c>
      <c r="D129" s="65" t="s">
        <v>344</v>
      </c>
      <c r="E129" s="108" t="s">
        <v>318</v>
      </c>
      <c r="F129" s="54" t="s">
        <v>345</v>
      </c>
      <c r="G129" s="54" t="s">
        <v>346</v>
      </c>
      <c r="H129" s="48"/>
      <c r="I129" s="48"/>
      <c r="J129" s="54"/>
      <c r="K129" s="85"/>
      <c r="L129" s="58"/>
      <c r="M129" s="86"/>
      <c r="N129" s="86"/>
      <c r="O129" s="87"/>
      <c r="P129" s="58"/>
      <c r="Q129" s="86"/>
      <c r="R129" s="86"/>
      <c r="S129" s="87"/>
      <c r="T129" s="56"/>
      <c r="U129" s="86"/>
      <c r="V129" s="86"/>
      <c r="W129" s="87"/>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row>
    <row r="130" outlineLevel="1">
      <c r="A130" s="68"/>
      <c r="B130" s="50" t="str">
        <f t="shared" si="13"/>
        <v>TC_11.103</v>
      </c>
      <c r="C130" s="51" t="s">
        <v>127</v>
      </c>
      <c r="D130" s="65" t="s">
        <v>347</v>
      </c>
      <c r="E130" s="108" t="s">
        <v>318</v>
      </c>
      <c r="F130" s="54" t="s">
        <v>348</v>
      </c>
      <c r="G130" s="54" t="s">
        <v>349</v>
      </c>
      <c r="H130" s="48"/>
      <c r="I130" s="48"/>
      <c r="J130" s="54"/>
      <c r="K130" s="85"/>
      <c r="L130" s="58"/>
      <c r="M130" s="86"/>
      <c r="N130" s="86"/>
      <c r="O130" s="87"/>
      <c r="P130" s="58"/>
      <c r="Q130" s="86"/>
      <c r="R130" s="86"/>
      <c r="S130" s="87"/>
      <c r="T130" s="56"/>
      <c r="U130" s="86"/>
      <c r="V130" s="86"/>
      <c r="W130" s="87"/>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row>
    <row r="131" outlineLevel="1">
      <c r="A131" s="68"/>
      <c r="B131" s="50" t="str">
        <f t="shared" si="13"/>
        <v>TC_11.104</v>
      </c>
      <c r="C131" s="51" t="s">
        <v>127</v>
      </c>
      <c r="D131" s="65" t="s">
        <v>350</v>
      </c>
      <c r="E131" s="108" t="s">
        <v>318</v>
      </c>
      <c r="F131" s="54" t="s">
        <v>351</v>
      </c>
      <c r="G131" s="54" t="s">
        <v>352</v>
      </c>
      <c r="H131" s="48"/>
      <c r="I131" s="48"/>
      <c r="J131" s="54"/>
      <c r="K131" s="85"/>
      <c r="L131" s="58"/>
      <c r="M131" s="86"/>
      <c r="N131" s="86"/>
      <c r="O131" s="87"/>
      <c r="P131" s="58"/>
      <c r="Q131" s="86"/>
      <c r="R131" s="86"/>
      <c r="S131" s="87"/>
      <c r="T131" s="56"/>
      <c r="U131" s="86"/>
      <c r="V131" s="86"/>
      <c r="W131" s="87"/>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row>
    <row r="132" outlineLevel="1">
      <c r="A132" s="68"/>
      <c r="B132" s="50" t="str">
        <f t="shared" si="13"/>
        <v>TC_11.105</v>
      </c>
      <c r="C132" s="51" t="s">
        <v>127</v>
      </c>
      <c r="D132" s="65" t="s">
        <v>353</v>
      </c>
      <c r="E132" s="108" t="s">
        <v>318</v>
      </c>
      <c r="F132" s="54" t="s">
        <v>354</v>
      </c>
      <c r="G132" s="54" t="s">
        <v>355</v>
      </c>
      <c r="H132" s="48"/>
      <c r="I132" s="48"/>
      <c r="J132" s="59"/>
      <c r="K132" s="85"/>
      <c r="L132" s="58"/>
      <c r="M132" s="86"/>
      <c r="N132" s="86"/>
      <c r="O132" s="87"/>
      <c r="P132" s="58"/>
      <c r="Q132" s="86"/>
      <c r="R132" s="86"/>
      <c r="S132" s="87"/>
      <c r="T132" s="56"/>
      <c r="U132" s="86"/>
      <c r="V132" s="86"/>
      <c r="W132" s="87"/>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row>
    <row r="133" outlineLevel="1">
      <c r="A133" s="68"/>
      <c r="B133" s="50" t="str">
        <f t="shared" si="13"/>
        <v>TC_11.106</v>
      </c>
      <c r="C133" s="51" t="s">
        <v>127</v>
      </c>
      <c r="D133" s="65" t="s">
        <v>356</v>
      </c>
      <c r="E133" s="54" t="s">
        <v>357</v>
      </c>
      <c r="F133" s="54" t="s">
        <v>358</v>
      </c>
      <c r="G133" s="54" t="s">
        <v>359</v>
      </c>
      <c r="H133" s="48"/>
      <c r="I133" s="48"/>
      <c r="J133" s="59"/>
      <c r="K133" s="85"/>
      <c r="L133" s="58"/>
      <c r="M133" s="86"/>
      <c r="N133" s="86"/>
      <c r="O133" s="87"/>
      <c r="P133" s="58"/>
      <c r="Q133" s="86"/>
      <c r="R133" s="86"/>
      <c r="S133" s="87"/>
      <c r="T133" s="56"/>
      <c r="U133" s="86"/>
      <c r="V133" s="86"/>
      <c r="W133" s="87"/>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row>
    <row r="134" outlineLevel="1">
      <c r="A134" s="68"/>
      <c r="B134" s="50" t="str">
        <f t="shared" si="13"/>
        <v>TC_11.107</v>
      </c>
      <c r="C134" s="51" t="s">
        <v>127</v>
      </c>
      <c r="D134" s="65" t="s">
        <v>360</v>
      </c>
      <c r="E134" s="108" t="s">
        <v>318</v>
      </c>
      <c r="F134" s="54" t="s">
        <v>361</v>
      </c>
      <c r="G134" s="54" t="s">
        <v>362</v>
      </c>
      <c r="H134" s="48"/>
      <c r="I134" s="48"/>
      <c r="J134" s="54"/>
      <c r="K134" s="85"/>
      <c r="L134" s="58"/>
      <c r="M134" s="86"/>
      <c r="N134" s="86"/>
      <c r="O134" s="87"/>
      <c r="P134" s="58"/>
      <c r="Q134" s="86"/>
      <c r="R134" s="86"/>
      <c r="S134" s="87"/>
      <c r="T134" s="56"/>
      <c r="U134" s="86"/>
      <c r="V134" s="86"/>
      <c r="W134" s="87"/>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row>
    <row r="135" outlineLevel="1">
      <c r="A135" s="68"/>
      <c r="B135" s="50" t="str">
        <f t="shared" si="13"/>
        <v>TC_11.108</v>
      </c>
      <c r="C135" s="51" t="s">
        <v>127</v>
      </c>
      <c r="D135" s="65" t="s">
        <v>363</v>
      </c>
      <c r="E135" s="108" t="s">
        <v>318</v>
      </c>
      <c r="F135" s="54" t="s">
        <v>364</v>
      </c>
      <c r="G135" s="54" t="s">
        <v>365</v>
      </c>
      <c r="H135" s="48"/>
      <c r="I135" s="48"/>
      <c r="J135" s="59"/>
      <c r="K135" s="85"/>
      <c r="L135" s="58"/>
      <c r="M135" s="86"/>
      <c r="N135" s="86"/>
      <c r="O135" s="87"/>
      <c r="P135" s="58"/>
      <c r="Q135" s="86"/>
      <c r="R135" s="86"/>
      <c r="S135" s="87"/>
      <c r="T135" s="56"/>
      <c r="U135" s="86"/>
      <c r="V135" s="86"/>
      <c r="W135" s="87"/>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row>
    <row r="136">
      <c r="A136" s="68"/>
      <c r="B136" s="49" t="s">
        <v>366</v>
      </c>
      <c r="C136" s="35"/>
      <c r="D136" s="35"/>
      <c r="E136" s="35"/>
      <c r="F136" s="35"/>
      <c r="G136" s="36"/>
      <c r="H136" s="163"/>
      <c r="I136" s="70"/>
      <c r="J136" s="44"/>
      <c r="K136" s="44"/>
      <c r="L136" s="44"/>
      <c r="M136" s="44"/>
      <c r="N136" s="44"/>
      <c r="O136" s="44"/>
      <c r="P136" s="44"/>
      <c r="Q136" s="44"/>
      <c r="R136" s="44"/>
      <c r="S136" s="44"/>
      <c r="T136" s="106"/>
      <c r="U136" s="44"/>
      <c r="V136" s="44"/>
      <c r="W136" s="44"/>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row>
    <row r="137" outlineLevel="1">
      <c r="A137" s="68"/>
      <c r="B137" s="86" t="str">
        <f t="shared" ref="B137:B147" si="14">IF(F137="","",$D$3&amp;"."&amp;COUNTA($F$9:F137)&amp;"")</f>
        <v>TC_11.109</v>
      </c>
      <c r="C137" s="155" t="s">
        <v>18</v>
      </c>
      <c r="D137" s="159" t="s">
        <v>367</v>
      </c>
      <c r="E137" s="108" t="s">
        <v>318</v>
      </c>
      <c r="F137" s="164" t="s">
        <v>368</v>
      </c>
      <c r="G137" s="165" t="s">
        <v>369</v>
      </c>
      <c r="H137" s="48"/>
      <c r="I137" s="166"/>
      <c r="J137" s="59"/>
      <c r="K137" s="85"/>
      <c r="L137" s="58"/>
      <c r="M137" s="87"/>
      <c r="N137" s="58"/>
      <c r="O137" s="86"/>
      <c r="P137" s="86"/>
      <c r="Q137" s="87"/>
      <c r="R137" s="56"/>
      <c r="S137" s="86"/>
      <c r="T137" s="86"/>
      <c r="U137" s="87"/>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row>
    <row r="138" outlineLevel="1">
      <c r="A138" s="68"/>
      <c r="B138" s="86" t="str">
        <f t="shared" si="14"/>
        <v>TC_11.110</v>
      </c>
      <c r="C138" s="155" t="s">
        <v>18</v>
      </c>
      <c r="D138" s="159" t="s">
        <v>370</v>
      </c>
      <c r="E138" s="108" t="s">
        <v>318</v>
      </c>
      <c r="F138" s="164" t="s">
        <v>371</v>
      </c>
      <c r="G138" s="158" t="s">
        <v>372</v>
      </c>
      <c r="H138" s="48"/>
      <c r="I138" s="166"/>
      <c r="J138" s="59"/>
      <c r="K138" s="85"/>
      <c r="L138" s="58"/>
      <c r="M138" s="87"/>
      <c r="N138" s="58"/>
      <c r="O138" s="86"/>
      <c r="P138" s="86"/>
      <c r="Q138" s="87"/>
      <c r="R138" s="56"/>
      <c r="S138" s="86"/>
      <c r="T138" s="86"/>
      <c r="U138" s="87"/>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row>
    <row r="139" outlineLevel="1">
      <c r="A139" s="68"/>
      <c r="B139" s="86" t="str">
        <f t="shared" si="14"/>
        <v>TC_11.111</v>
      </c>
      <c r="C139" s="155" t="s">
        <v>18</v>
      </c>
      <c r="D139" s="154" t="s">
        <v>373</v>
      </c>
      <c r="E139" s="108" t="s">
        <v>318</v>
      </c>
      <c r="F139" s="164" t="s">
        <v>374</v>
      </c>
      <c r="G139" s="152" t="s">
        <v>375</v>
      </c>
      <c r="H139" s="48"/>
      <c r="I139" s="166"/>
      <c r="J139" s="59"/>
      <c r="K139" s="85"/>
      <c r="L139" s="58"/>
      <c r="M139" s="87"/>
      <c r="N139" s="58"/>
      <c r="O139" s="86"/>
      <c r="P139" s="86"/>
      <c r="Q139" s="87"/>
      <c r="R139" s="56"/>
      <c r="S139" s="86"/>
      <c r="T139" s="86"/>
      <c r="U139" s="87"/>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row>
    <row r="140" outlineLevel="1">
      <c r="A140" s="68"/>
      <c r="B140" s="86" t="str">
        <f t="shared" si="14"/>
        <v>TC_11.112</v>
      </c>
      <c r="C140" s="155" t="s">
        <v>18</v>
      </c>
      <c r="D140" s="167" t="s">
        <v>376</v>
      </c>
      <c r="E140" s="108" t="s">
        <v>318</v>
      </c>
      <c r="F140" s="160" t="s">
        <v>377</v>
      </c>
      <c r="G140" s="165" t="s">
        <v>378</v>
      </c>
      <c r="H140" s="48"/>
      <c r="I140" s="166"/>
      <c r="J140" s="97"/>
      <c r="K140" s="85"/>
      <c r="L140" s="58"/>
      <c r="M140" s="87"/>
      <c r="N140" s="58"/>
      <c r="O140" s="86"/>
      <c r="P140" s="86"/>
      <c r="Q140" s="87"/>
      <c r="R140" s="56"/>
      <c r="S140" s="86"/>
      <c r="T140" s="86"/>
      <c r="U140" s="87"/>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row>
    <row r="141" outlineLevel="1">
      <c r="A141" s="68"/>
      <c r="B141" s="86" t="str">
        <f t="shared" si="14"/>
        <v>TC_11.113</v>
      </c>
      <c r="C141" s="155" t="s">
        <v>18</v>
      </c>
      <c r="D141" s="151" t="s">
        <v>379</v>
      </c>
      <c r="E141" s="168" t="s">
        <v>380</v>
      </c>
      <c r="F141" s="164" t="s">
        <v>381</v>
      </c>
      <c r="G141" s="169" t="s">
        <v>382</v>
      </c>
      <c r="H141" s="170"/>
      <c r="I141" s="166"/>
      <c r="J141" s="59"/>
      <c r="K141" s="69"/>
      <c r="L141" s="58"/>
      <c r="M141" s="87"/>
      <c r="N141" s="58"/>
      <c r="O141" s="86"/>
      <c r="P141" s="86"/>
      <c r="Q141" s="87"/>
      <c r="R141" s="56"/>
      <c r="S141" s="86"/>
      <c r="T141" s="86"/>
      <c r="U141" s="87"/>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row>
    <row r="142" outlineLevel="1">
      <c r="A142" s="68"/>
      <c r="B142" s="86" t="str">
        <f t="shared" si="14"/>
        <v>TC_11.114</v>
      </c>
      <c r="C142" s="155" t="s">
        <v>18</v>
      </c>
      <c r="D142" s="151" t="s">
        <v>383</v>
      </c>
      <c r="E142" s="168" t="s">
        <v>384</v>
      </c>
      <c r="F142" s="164" t="s">
        <v>381</v>
      </c>
      <c r="G142" s="169" t="s">
        <v>385</v>
      </c>
      <c r="H142" s="48"/>
      <c r="I142" s="166"/>
      <c r="J142" s="59"/>
      <c r="K142" s="69"/>
      <c r="L142" s="58"/>
      <c r="M142" s="87"/>
      <c r="N142" s="58"/>
      <c r="O142" s="86"/>
      <c r="P142" s="86"/>
      <c r="Q142" s="87"/>
      <c r="R142" s="56"/>
      <c r="S142" s="86"/>
      <c r="T142" s="86"/>
      <c r="U142" s="87"/>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row>
    <row r="143" outlineLevel="1">
      <c r="A143" s="68"/>
      <c r="B143" s="86" t="str">
        <f t="shared" si="14"/>
        <v>TC_11.115</v>
      </c>
      <c r="C143" s="155" t="s">
        <v>18</v>
      </c>
      <c r="D143" s="171" t="s">
        <v>386</v>
      </c>
      <c r="E143" s="108" t="s">
        <v>318</v>
      </c>
      <c r="F143" s="152" t="s">
        <v>387</v>
      </c>
      <c r="G143" s="169" t="s">
        <v>388</v>
      </c>
      <c r="H143" s="170"/>
      <c r="I143" s="166"/>
      <c r="J143" s="54"/>
      <c r="K143" s="85"/>
      <c r="L143" s="58"/>
      <c r="M143" s="87"/>
      <c r="N143" s="58"/>
      <c r="O143" s="86"/>
      <c r="P143" s="86"/>
      <c r="Q143" s="87"/>
      <c r="R143" s="56"/>
      <c r="S143" s="86"/>
      <c r="T143" s="86"/>
      <c r="U143" s="87"/>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row>
    <row r="144" outlineLevel="1">
      <c r="A144" s="68"/>
      <c r="B144" s="86" t="str">
        <f t="shared" si="14"/>
        <v>TC_11.116</v>
      </c>
      <c r="C144" s="155" t="s">
        <v>18</v>
      </c>
      <c r="D144" s="171" t="s">
        <v>389</v>
      </c>
      <c r="E144" s="108" t="s">
        <v>318</v>
      </c>
      <c r="F144" s="152" t="s">
        <v>390</v>
      </c>
      <c r="G144" s="169" t="s">
        <v>391</v>
      </c>
      <c r="H144" s="170"/>
      <c r="I144" s="166"/>
      <c r="J144" s="54"/>
      <c r="K144" s="85"/>
      <c r="L144" s="58"/>
      <c r="M144" s="87"/>
      <c r="N144" s="58"/>
      <c r="O144" s="86"/>
      <c r="P144" s="86"/>
      <c r="Q144" s="87"/>
      <c r="R144" s="56"/>
      <c r="S144" s="86"/>
      <c r="T144" s="86"/>
      <c r="U144" s="87"/>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row>
    <row r="145" outlineLevel="1">
      <c r="A145" s="68"/>
      <c r="B145" s="86" t="str">
        <f t="shared" si="14"/>
        <v>TC_11.117</v>
      </c>
      <c r="C145" s="155" t="s">
        <v>18</v>
      </c>
      <c r="D145" s="172" t="s">
        <v>392</v>
      </c>
      <c r="E145" s="152" t="s">
        <v>393</v>
      </c>
      <c r="F145" s="152" t="s">
        <v>394</v>
      </c>
      <c r="G145" s="169" t="s">
        <v>395</v>
      </c>
      <c r="H145" s="170"/>
      <c r="I145" s="166"/>
      <c r="J145" s="54"/>
      <c r="K145" s="85"/>
      <c r="L145" s="58"/>
      <c r="M145" s="87"/>
      <c r="N145" s="58"/>
      <c r="O145" s="86"/>
      <c r="P145" s="86"/>
      <c r="Q145" s="87"/>
      <c r="R145" s="56"/>
      <c r="S145" s="86"/>
      <c r="T145" s="86"/>
      <c r="U145" s="87"/>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row>
    <row r="146" outlineLevel="1">
      <c r="A146" s="68"/>
      <c r="B146" s="86" t="str">
        <f t="shared" si="14"/>
        <v>TC_11.118</v>
      </c>
      <c r="C146" s="155" t="s">
        <v>127</v>
      </c>
      <c r="D146" s="154" t="s">
        <v>396</v>
      </c>
      <c r="E146" s="152" t="s">
        <v>397</v>
      </c>
      <c r="F146" s="152" t="s">
        <v>398</v>
      </c>
      <c r="G146" s="169" t="s">
        <v>399</v>
      </c>
      <c r="H146" s="170"/>
      <c r="I146" s="166"/>
      <c r="J146" s="54"/>
      <c r="K146" s="85"/>
      <c r="L146" s="58"/>
      <c r="M146" s="87"/>
      <c r="N146" s="58"/>
      <c r="O146" s="86"/>
      <c r="P146" s="86"/>
      <c r="Q146" s="87"/>
      <c r="R146" s="56"/>
      <c r="S146" s="86"/>
      <c r="T146" s="86"/>
      <c r="U146" s="87"/>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row>
    <row r="147" outlineLevel="1">
      <c r="A147" s="68"/>
      <c r="B147" s="86" t="str">
        <f t="shared" si="14"/>
        <v>TC_11.119</v>
      </c>
      <c r="C147" s="155" t="s">
        <v>127</v>
      </c>
      <c r="D147" s="151" t="s">
        <v>400</v>
      </c>
      <c r="E147" s="152" t="s">
        <v>401</v>
      </c>
      <c r="F147" s="152" t="s">
        <v>402</v>
      </c>
      <c r="G147" s="169" t="s">
        <v>403</v>
      </c>
      <c r="H147" s="170"/>
      <c r="I147" s="166"/>
      <c r="J147" s="54"/>
      <c r="K147" s="85"/>
      <c r="L147" s="58"/>
      <c r="M147" s="87"/>
      <c r="N147" s="58"/>
      <c r="O147" s="86"/>
      <c r="P147" s="86"/>
      <c r="Q147" s="87"/>
      <c r="R147" s="56"/>
      <c r="S147" s="86"/>
      <c r="T147" s="86"/>
      <c r="U147" s="87"/>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row>
    <row r="148" outlineLevel="1">
      <c r="A148" s="68"/>
      <c r="B148" s="49" t="s">
        <v>404</v>
      </c>
      <c r="C148" s="35"/>
      <c r="D148" s="35"/>
      <c r="E148" s="35"/>
      <c r="F148" s="35"/>
      <c r="G148" s="36"/>
      <c r="H148" s="163"/>
      <c r="I148" s="86"/>
      <c r="J148" s="59"/>
      <c r="K148" s="85"/>
      <c r="L148" s="86"/>
      <c r="M148" s="87"/>
      <c r="N148" s="58"/>
      <c r="O148" s="86"/>
      <c r="P148" s="86"/>
      <c r="Q148" s="87"/>
      <c r="R148" s="56"/>
      <c r="S148" s="86"/>
      <c r="T148" s="86"/>
      <c r="U148" s="87"/>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row>
    <row r="149" outlineLevel="1">
      <c r="A149" s="68"/>
      <c r="B149" s="86" t="str">
        <f t="shared" ref="B149:B156" si="15">IF(F149="","",$D$3&amp;"."&amp;COUNTA($F$9:F149)&amp;"")</f>
        <v>TC_11.120</v>
      </c>
      <c r="C149" s="155" t="s">
        <v>127</v>
      </c>
      <c r="D149" s="52" t="s">
        <v>405</v>
      </c>
      <c r="E149" s="54" t="s">
        <v>318</v>
      </c>
      <c r="F149" s="114" t="s">
        <v>406</v>
      </c>
      <c r="G149" s="114" t="s">
        <v>407</v>
      </c>
      <c r="H149" s="170"/>
      <c r="I149" s="166"/>
      <c r="J149" s="59"/>
      <c r="K149" s="85"/>
      <c r="L149" s="58"/>
      <c r="M149" s="87"/>
      <c r="N149" s="58"/>
      <c r="O149" s="86"/>
      <c r="P149" s="86"/>
      <c r="Q149" s="87"/>
      <c r="R149" s="56"/>
      <c r="S149" s="86"/>
      <c r="T149" s="86"/>
      <c r="U149" s="87"/>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row>
    <row r="150" outlineLevel="1">
      <c r="A150" s="68"/>
      <c r="B150" s="86" t="str">
        <f t="shared" si="15"/>
        <v>TC_11.121</v>
      </c>
      <c r="C150" s="155" t="s">
        <v>127</v>
      </c>
      <c r="D150" s="52" t="s">
        <v>408</v>
      </c>
      <c r="E150" s="54" t="s">
        <v>318</v>
      </c>
      <c r="F150" s="114" t="s">
        <v>409</v>
      </c>
      <c r="G150" s="114" t="s">
        <v>410</v>
      </c>
      <c r="H150" s="170"/>
      <c r="I150" s="166"/>
      <c r="J150" s="59"/>
      <c r="K150" s="69"/>
      <c r="L150" s="58"/>
      <c r="M150" s="87"/>
      <c r="N150" s="58"/>
      <c r="O150" s="86"/>
      <c r="P150" s="86"/>
      <c r="Q150" s="87"/>
      <c r="R150" s="56"/>
      <c r="S150" s="86"/>
      <c r="T150" s="86"/>
      <c r="U150" s="87"/>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row>
    <row r="151" outlineLevel="1">
      <c r="A151" s="64"/>
      <c r="B151" s="86" t="str">
        <f t="shared" si="15"/>
        <v>TC_11.122</v>
      </c>
      <c r="C151" s="155" t="s">
        <v>127</v>
      </c>
      <c r="D151" s="52" t="s">
        <v>411</v>
      </c>
      <c r="E151" s="54" t="s">
        <v>318</v>
      </c>
      <c r="F151" s="114" t="s">
        <v>412</v>
      </c>
      <c r="G151" s="114" t="s">
        <v>413</v>
      </c>
      <c r="H151" s="170"/>
      <c r="I151" s="166"/>
      <c r="J151" s="59"/>
      <c r="K151" s="85"/>
      <c r="L151" s="58"/>
      <c r="M151" s="87"/>
      <c r="N151" s="58"/>
      <c r="O151" s="86"/>
      <c r="P151" s="86"/>
      <c r="Q151" s="87"/>
      <c r="R151" s="56"/>
      <c r="S151" s="86"/>
      <c r="T151" s="86"/>
      <c r="U151" s="87"/>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row>
    <row r="152" outlineLevel="1">
      <c r="A152" s="46"/>
      <c r="B152" s="86" t="str">
        <f t="shared" si="15"/>
        <v>TC_11.123</v>
      </c>
      <c r="C152" s="155" t="s">
        <v>127</v>
      </c>
      <c r="D152" s="52" t="s">
        <v>414</v>
      </c>
      <c r="E152" s="54" t="s">
        <v>318</v>
      </c>
      <c r="F152" s="114" t="s">
        <v>415</v>
      </c>
      <c r="G152" s="114" t="s">
        <v>416</v>
      </c>
      <c r="H152" s="170"/>
      <c r="I152" s="166"/>
      <c r="J152" s="59"/>
      <c r="K152" s="85"/>
      <c r="L152" s="58"/>
      <c r="M152" s="87"/>
      <c r="N152" s="58"/>
      <c r="O152" s="86"/>
      <c r="P152" s="86"/>
      <c r="Q152" s="87"/>
      <c r="R152" s="56"/>
      <c r="S152" s="86"/>
      <c r="T152" s="86"/>
      <c r="U152" s="87"/>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row>
    <row r="153" outlineLevel="1">
      <c r="A153" s="64"/>
      <c r="B153" s="86" t="str">
        <f t="shared" si="15"/>
        <v>TC_11.124</v>
      </c>
      <c r="C153" s="155" t="s">
        <v>127</v>
      </c>
      <c r="D153" s="52" t="s">
        <v>417</v>
      </c>
      <c r="E153" s="54" t="s">
        <v>318</v>
      </c>
      <c r="F153" s="114" t="s">
        <v>418</v>
      </c>
      <c r="G153" s="114" t="s">
        <v>419</v>
      </c>
      <c r="H153" s="170"/>
      <c r="I153" s="166"/>
      <c r="J153" s="54"/>
      <c r="K153" s="69"/>
      <c r="L153" s="58"/>
      <c r="M153" s="87"/>
      <c r="N153" s="58"/>
      <c r="O153" s="86"/>
      <c r="P153" s="86"/>
      <c r="Q153" s="87"/>
      <c r="R153" s="56"/>
      <c r="S153" s="86"/>
      <c r="T153" s="86"/>
      <c r="U153" s="87"/>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row>
    <row r="154" outlineLevel="1">
      <c r="A154" s="67"/>
      <c r="B154" s="86" t="str">
        <f t="shared" si="15"/>
        <v>TC_11.125</v>
      </c>
      <c r="C154" s="155" t="s">
        <v>127</v>
      </c>
      <c r="D154" s="52" t="s">
        <v>420</v>
      </c>
      <c r="E154" s="54" t="s">
        <v>318</v>
      </c>
      <c r="F154" s="114" t="s">
        <v>421</v>
      </c>
      <c r="G154" s="114" t="s">
        <v>422</v>
      </c>
      <c r="H154" s="170"/>
      <c r="I154" s="166"/>
      <c r="J154" s="59"/>
      <c r="K154" s="85"/>
      <c r="L154" s="58"/>
      <c r="M154" s="87"/>
      <c r="N154" s="58"/>
      <c r="O154" s="86"/>
      <c r="P154" s="86"/>
      <c r="Q154" s="87"/>
      <c r="R154" s="56"/>
      <c r="S154" s="86"/>
      <c r="T154" s="86"/>
      <c r="U154" s="87"/>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row>
    <row r="155" outlineLevel="1">
      <c r="A155" s="67"/>
      <c r="B155" s="86" t="str">
        <f t="shared" si="15"/>
        <v>TC_11.126</v>
      </c>
      <c r="C155" s="155" t="s">
        <v>127</v>
      </c>
      <c r="D155" s="52" t="s">
        <v>423</v>
      </c>
      <c r="E155" s="54" t="s">
        <v>318</v>
      </c>
      <c r="F155" s="114" t="s">
        <v>424</v>
      </c>
      <c r="G155" s="114" t="s">
        <v>425</v>
      </c>
      <c r="H155" s="170"/>
      <c r="I155" s="166"/>
      <c r="J155" s="59"/>
      <c r="K155" s="85"/>
      <c r="L155" s="58"/>
      <c r="M155" s="87"/>
      <c r="N155" s="58"/>
      <c r="O155" s="86"/>
      <c r="P155" s="86"/>
      <c r="Q155" s="87"/>
      <c r="R155" s="56"/>
      <c r="S155" s="86"/>
      <c r="T155" s="86"/>
      <c r="U155" s="87"/>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row>
    <row r="156" outlineLevel="1">
      <c r="A156" s="68"/>
      <c r="B156" s="86" t="str">
        <f t="shared" si="15"/>
        <v>TC_11.127</v>
      </c>
      <c r="C156" s="155" t="s">
        <v>127</v>
      </c>
      <c r="D156" s="52" t="s">
        <v>426</v>
      </c>
      <c r="E156" s="54" t="s">
        <v>318</v>
      </c>
      <c r="F156" s="114" t="s">
        <v>427</v>
      </c>
      <c r="G156" s="114" t="s">
        <v>428</v>
      </c>
      <c r="H156" s="170"/>
      <c r="I156" s="166"/>
      <c r="J156" s="54"/>
      <c r="K156" s="85"/>
      <c r="L156" s="58"/>
      <c r="M156" s="87"/>
      <c r="N156" s="58"/>
      <c r="O156" s="86"/>
      <c r="P156" s="86"/>
      <c r="Q156" s="87"/>
      <c r="R156" s="56"/>
      <c r="S156" s="86"/>
      <c r="T156" s="86"/>
      <c r="U156" s="87"/>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row>
    <row r="157">
      <c r="A157" s="46"/>
      <c r="B157" s="47" t="s">
        <v>429</v>
      </c>
      <c r="C157" s="35"/>
      <c r="D157" s="35"/>
      <c r="E157" s="35"/>
      <c r="F157" s="35"/>
      <c r="G157" s="36"/>
      <c r="H157" s="70"/>
      <c r="I157" s="42"/>
      <c r="J157" s="43"/>
      <c r="K157" s="44"/>
      <c r="L157" s="43"/>
      <c r="M157" s="43"/>
      <c r="N157" s="43"/>
      <c r="O157" s="43"/>
      <c r="P157" s="43"/>
      <c r="Q157" s="43"/>
      <c r="R157" s="43"/>
      <c r="S157" s="43"/>
      <c r="T157" s="45"/>
      <c r="U157" s="43"/>
      <c r="V157" s="43"/>
      <c r="W157" s="43"/>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row>
    <row r="158">
      <c r="A158" s="68"/>
      <c r="B158" s="50"/>
      <c r="C158" s="71" t="s">
        <v>430</v>
      </c>
      <c r="D158" s="35"/>
      <c r="E158" s="35"/>
      <c r="F158" s="35"/>
      <c r="G158" s="36"/>
      <c r="H158" s="163"/>
      <c r="I158" s="48"/>
      <c r="J158" s="43"/>
      <c r="K158" s="44"/>
      <c r="L158" s="43"/>
      <c r="M158" s="48"/>
      <c r="N158" s="43"/>
      <c r="O158" s="43"/>
      <c r="P158" s="43"/>
      <c r="Q158" s="48"/>
      <c r="R158" s="43"/>
      <c r="S158" s="43"/>
      <c r="T158" s="45"/>
      <c r="U158" s="48"/>
      <c r="V158" s="43"/>
      <c r="W158" s="43"/>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row>
    <row r="159">
      <c r="A159" s="68"/>
      <c r="B159" s="86" t="str">
        <f t="shared" ref="B159:B160" si="16">IF(F159="","",$D$3&amp;"."&amp;COUNTA($F$10:F159)&amp;"")</f>
        <v>TC_11.128</v>
      </c>
      <c r="C159" s="51" t="s">
        <v>127</v>
      </c>
      <c r="D159" s="65" t="s">
        <v>431</v>
      </c>
      <c r="E159" s="162" t="s">
        <v>432</v>
      </c>
      <c r="F159" s="162" t="s">
        <v>433</v>
      </c>
      <c r="G159" s="80" t="s">
        <v>434</v>
      </c>
      <c r="H159" s="170"/>
      <c r="I159" s="166"/>
      <c r="J159" s="43"/>
      <c r="K159" s="44"/>
      <c r="L159" s="43"/>
      <c r="M159" s="48"/>
      <c r="N159" s="43"/>
      <c r="O159" s="43"/>
      <c r="P159" s="43"/>
      <c r="Q159" s="48"/>
      <c r="R159" s="43"/>
      <c r="S159" s="43"/>
      <c r="T159" s="45"/>
      <c r="U159" s="48"/>
      <c r="V159" s="43"/>
      <c r="W159" s="43"/>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row>
    <row r="160">
      <c r="A160" s="64"/>
      <c r="B160" s="86" t="str">
        <f t="shared" si="16"/>
        <v>TC_11.129</v>
      </c>
      <c r="C160" s="51" t="s">
        <v>127</v>
      </c>
      <c r="D160" s="52" t="s">
        <v>435</v>
      </c>
      <c r="E160" s="162" t="s">
        <v>432</v>
      </c>
      <c r="F160" s="162" t="s">
        <v>436</v>
      </c>
      <c r="G160" s="80" t="s">
        <v>437</v>
      </c>
      <c r="H160" s="170"/>
      <c r="I160" s="166"/>
      <c r="J160" s="108"/>
      <c r="K160" s="44"/>
      <c r="L160" s="43"/>
      <c r="M160" s="48"/>
      <c r="N160" s="43"/>
      <c r="O160" s="43"/>
      <c r="P160" s="43"/>
      <c r="Q160" s="48"/>
      <c r="R160" s="43"/>
      <c r="S160" s="43"/>
      <c r="T160" s="45"/>
      <c r="U160" s="48"/>
      <c r="V160" s="43"/>
      <c r="W160" s="43"/>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row>
    <row r="161">
      <c r="A161" s="68"/>
      <c r="B161" s="86"/>
      <c r="C161" s="71" t="s">
        <v>438</v>
      </c>
      <c r="D161" s="35"/>
      <c r="E161" s="35"/>
      <c r="F161" s="35"/>
      <c r="G161" s="36"/>
      <c r="H161" s="163"/>
      <c r="I161" s="48"/>
      <c r="J161" s="43"/>
      <c r="K161" s="44"/>
      <c r="L161" s="43"/>
      <c r="M161" s="48"/>
      <c r="N161" s="43"/>
      <c r="O161" s="43"/>
      <c r="P161" s="43"/>
      <c r="Q161" s="48"/>
      <c r="R161" s="43"/>
      <c r="S161" s="43"/>
      <c r="T161" s="45"/>
      <c r="U161" s="48"/>
      <c r="V161" s="43"/>
      <c r="W161" s="43"/>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row>
    <row r="162">
      <c r="A162" s="68"/>
      <c r="B162" s="86" t="str">
        <f t="shared" ref="B162:B164" si="17">IF(F162="","",$D$3&amp;"."&amp;COUNTA($F$10:F162)&amp;"")</f>
        <v>TC_11.130</v>
      </c>
      <c r="C162" s="51" t="s">
        <v>127</v>
      </c>
      <c r="D162" s="65" t="s">
        <v>439</v>
      </c>
      <c r="E162" s="162" t="s">
        <v>432</v>
      </c>
      <c r="F162" s="162" t="s">
        <v>440</v>
      </c>
      <c r="G162" s="54" t="s">
        <v>441</v>
      </c>
      <c r="H162" s="170"/>
      <c r="I162" s="166"/>
      <c r="J162" s="43"/>
      <c r="K162" s="44"/>
      <c r="L162" s="43"/>
      <c r="M162" s="48"/>
      <c r="N162" s="43"/>
      <c r="O162" s="43"/>
      <c r="P162" s="43"/>
      <c r="Q162" s="48"/>
      <c r="R162" s="43"/>
      <c r="S162" s="43"/>
      <c r="T162" s="45"/>
      <c r="U162" s="48"/>
      <c r="V162" s="43"/>
      <c r="W162" s="43"/>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row>
    <row r="163">
      <c r="A163" s="68"/>
      <c r="B163" s="86" t="str">
        <f t="shared" si="17"/>
        <v>TC_11.131</v>
      </c>
      <c r="C163" s="48" t="s">
        <v>18</v>
      </c>
      <c r="D163" s="65" t="s">
        <v>442</v>
      </c>
      <c r="E163" s="162" t="s">
        <v>432</v>
      </c>
      <c r="F163" s="162" t="s">
        <v>443</v>
      </c>
      <c r="G163" s="80" t="s">
        <v>444</v>
      </c>
      <c r="H163" s="170"/>
      <c r="I163" s="166"/>
      <c r="J163" s="43"/>
      <c r="K163" s="44"/>
      <c r="L163" s="43"/>
      <c r="M163" s="48"/>
      <c r="N163" s="43"/>
      <c r="O163" s="43"/>
      <c r="P163" s="43"/>
      <c r="Q163" s="48"/>
      <c r="R163" s="43"/>
      <c r="S163" s="43"/>
      <c r="T163" s="45"/>
      <c r="U163" s="48"/>
      <c r="V163" s="43"/>
      <c r="W163" s="43"/>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row>
    <row r="164">
      <c r="A164" s="68"/>
      <c r="B164" s="86" t="str">
        <f t="shared" si="17"/>
        <v>TC_11.132</v>
      </c>
      <c r="C164" s="48" t="s">
        <v>18</v>
      </c>
      <c r="D164" s="65" t="s">
        <v>445</v>
      </c>
      <c r="E164" s="162" t="s">
        <v>432</v>
      </c>
      <c r="F164" s="162" t="s">
        <v>446</v>
      </c>
      <c r="G164" s="80" t="s">
        <v>447</v>
      </c>
      <c r="H164" s="170"/>
      <c r="I164" s="166"/>
      <c r="J164" s="43"/>
      <c r="K164" s="44"/>
      <c r="L164" s="43"/>
      <c r="M164" s="48"/>
      <c r="N164" s="43"/>
      <c r="O164" s="43"/>
      <c r="P164" s="43"/>
      <c r="Q164" s="48"/>
      <c r="R164" s="43"/>
      <c r="S164" s="43"/>
      <c r="T164" s="45"/>
      <c r="U164" s="48"/>
      <c r="V164" s="43"/>
      <c r="W164" s="43"/>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row>
    <row r="165">
      <c r="A165" s="68"/>
      <c r="B165" s="86"/>
      <c r="C165" s="71" t="s">
        <v>448</v>
      </c>
      <c r="D165" s="35"/>
      <c r="E165" s="35"/>
      <c r="F165" s="35"/>
      <c r="G165" s="36"/>
      <c r="H165" s="163"/>
      <c r="I165" s="48"/>
      <c r="J165" s="43"/>
      <c r="K165" s="44"/>
      <c r="L165" s="43"/>
      <c r="M165" s="48"/>
      <c r="N165" s="43"/>
      <c r="O165" s="43"/>
      <c r="P165" s="43"/>
      <c r="Q165" s="48"/>
      <c r="R165" s="43"/>
      <c r="S165" s="43"/>
      <c r="T165" s="45"/>
      <c r="U165" s="48"/>
      <c r="V165" s="43"/>
      <c r="W165" s="43"/>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row>
    <row r="166">
      <c r="A166" s="68"/>
      <c r="B166" s="86" t="str">
        <f t="shared" ref="B166:B168" si="18">IF(F166="","",$D$3&amp;"."&amp;COUNTA($F$10:F166)&amp;"")</f>
        <v>TC_11.133</v>
      </c>
      <c r="C166" s="48" t="s">
        <v>18</v>
      </c>
      <c r="D166" s="65" t="s">
        <v>449</v>
      </c>
      <c r="E166" s="162" t="s">
        <v>432</v>
      </c>
      <c r="F166" s="162" t="s">
        <v>450</v>
      </c>
      <c r="G166" s="80" t="s">
        <v>451</v>
      </c>
      <c r="H166" s="170"/>
      <c r="I166" s="166"/>
      <c r="J166" s="97"/>
      <c r="K166" s="44"/>
      <c r="L166" s="43"/>
      <c r="M166" s="48"/>
      <c r="N166" s="43"/>
      <c r="O166" s="43"/>
      <c r="P166" s="43"/>
      <c r="Q166" s="48"/>
      <c r="R166" s="43"/>
      <c r="S166" s="43"/>
      <c r="T166" s="45"/>
      <c r="U166" s="48"/>
      <c r="V166" s="43"/>
      <c r="W166" s="43"/>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row>
    <row r="167">
      <c r="A167" s="68"/>
      <c r="B167" s="86" t="str">
        <f t="shared" si="18"/>
        <v>TC_11.134</v>
      </c>
      <c r="C167" s="48" t="s">
        <v>18</v>
      </c>
      <c r="D167" s="65" t="s">
        <v>452</v>
      </c>
      <c r="E167" s="162" t="s">
        <v>432</v>
      </c>
      <c r="F167" s="54" t="s">
        <v>453</v>
      </c>
      <c r="G167" s="54" t="s">
        <v>454</v>
      </c>
      <c r="H167" s="170"/>
      <c r="I167" s="166"/>
      <c r="J167" s="43"/>
      <c r="K167" s="44"/>
      <c r="L167" s="43"/>
      <c r="M167" s="48"/>
      <c r="N167" s="43"/>
      <c r="O167" s="43"/>
      <c r="P167" s="43"/>
      <c r="Q167" s="48"/>
      <c r="R167" s="43"/>
      <c r="S167" s="43"/>
      <c r="T167" s="45"/>
      <c r="U167" s="48"/>
      <c r="V167" s="43"/>
      <c r="W167" s="43"/>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row>
    <row r="168">
      <c r="A168" s="68"/>
      <c r="B168" s="86" t="str">
        <f t="shared" si="18"/>
        <v>TC_11.135</v>
      </c>
      <c r="C168" s="48" t="s">
        <v>18</v>
      </c>
      <c r="D168" s="52" t="s">
        <v>455</v>
      </c>
      <c r="E168" s="162" t="s">
        <v>432</v>
      </c>
      <c r="F168" s="162" t="s">
        <v>456</v>
      </c>
      <c r="G168" s="54" t="s">
        <v>457</v>
      </c>
      <c r="H168" s="170"/>
      <c r="I168" s="166"/>
      <c r="J168" s="43"/>
      <c r="K168" s="44"/>
      <c r="L168" s="43"/>
      <c r="M168" s="48"/>
      <c r="N168" s="43"/>
      <c r="O168" s="43"/>
      <c r="P168" s="43"/>
      <c r="Q168" s="48"/>
      <c r="R168" s="43"/>
      <c r="S168" s="43"/>
      <c r="T168" s="45"/>
      <c r="U168" s="48"/>
      <c r="V168" s="43"/>
      <c r="W168" s="43"/>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row>
    <row r="169">
      <c r="A169" s="68"/>
      <c r="B169" s="150"/>
      <c r="C169" s="150"/>
      <c r="D169" s="173"/>
      <c r="E169" s="174"/>
      <c r="F169" s="175"/>
      <c r="G169" s="176"/>
      <c r="H169" s="163"/>
      <c r="I169" s="48"/>
      <c r="J169" s="43"/>
      <c r="K169" s="44"/>
      <c r="L169" s="43"/>
      <c r="M169" s="48"/>
      <c r="N169" s="43"/>
      <c r="O169" s="43"/>
      <c r="P169" s="43"/>
      <c r="Q169" s="48"/>
      <c r="R169" s="43"/>
      <c r="S169" s="43"/>
      <c r="T169" s="45"/>
      <c r="U169" s="48"/>
      <c r="V169" s="43"/>
      <c r="W169" s="43"/>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row>
    <row r="170">
      <c r="A170" s="68"/>
      <c r="B170" s="150"/>
      <c r="C170" s="150"/>
      <c r="D170" s="177"/>
      <c r="E170" s="178"/>
      <c r="F170" s="175"/>
      <c r="G170" s="179"/>
      <c r="H170" s="163"/>
      <c r="I170" s="48"/>
      <c r="J170" s="43"/>
      <c r="K170" s="44"/>
      <c r="L170" s="43"/>
      <c r="M170" s="48"/>
      <c r="N170" s="43"/>
      <c r="O170" s="43"/>
      <c r="P170" s="43"/>
      <c r="Q170" s="48"/>
      <c r="R170" s="43"/>
      <c r="S170" s="43"/>
      <c r="T170" s="45"/>
      <c r="U170" s="48"/>
      <c r="V170" s="43"/>
      <c r="W170" s="43"/>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row>
    <row r="171">
      <c r="A171" s="68"/>
      <c r="B171" s="150"/>
      <c r="C171" s="150"/>
      <c r="D171" s="180"/>
      <c r="E171" s="152"/>
      <c r="F171" s="152"/>
      <c r="G171" s="152"/>
      <c r="H171" s="163"/>
      <c r="I171" s="48"/>
      <c r="J171" s="43"/>
      <c r="K171" s="44"/>
      <c r="L171" s="43"/>
      <c r="M171" s="48"/>
      <c r="N171" s="43"/>
      <c r="O171" s="43"/>
      <c r="P171" s="43"/>
      <c r="Q171" s="48"/>
      <c r="R171" s="43"/>
      <c r="S171" s="43"/>
      <c r="T171" s="45"/>
      <c r="U171" s="48"/>
      <c r="V171" s="43"/>
      <c r="W171" s="43"/>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row>
    <row r="172">
      <c r="A172" s="68"/>
      <c r="B172" s="42"/>
      <c r="C172" s="42"/>
      <c r="D172" s="181"/>
      <c r="E172" s="43"/>
      <c r="F172" s="43"/>
      <c r="G172" s="43"/>
      <c r="H172" s="163"/>
      <c r="I172" s="48"/>
      <c r="J172" s="43"/>
      <c r="K172" s="44"/>
      <c r="L172" s="43"/>
      <c r="M172" s="48"/>
      <c r="N172" s="43"/>
      <c r="O172" s="43"/>
      <c r="P172" s="43"/>
      <c r="Q172" s="48"/>
      <c r="R172" s="43"/>
      <c r="S172" s="43"/>
      <c r="T172" s="45"/>
      <c r="U172" s="48"/>
      <c r="V172" s="43"/>
      <c r="W172" s="43"/>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row>
    <row r="173">
      <c r="A173" s="68"/>
      <c r="B173" s="42"/>
      <c r="C173" s="42"/>
      <c r="D173" s="181"/>
      <c r="E173" s="43"/>
      <c r="F173" s="43"/>
      <c r="G173" s="108"/>
      <c r="H173" s="163"/>
      <c r="I173" s="48"/>
      <c r="J173" s="43"/>
      <c r="K173" s="44"/>
      <c r="L173" s="43"/>
      <c r="M173" s="48"/>
      <c r="N173" s="43"/>
      <c r="O173" s="43"/>
      <c r="P173" s="43"/>
      <c r="Q173" s="48"/>
      <c r="R173" s="43"/>
      <c r="S173" s="43"/>
      <c r="T173" s="45"/>
      <c r="U173" s="48"/>
      <c r="V173" s="43"/>
      <c r="W173" s="43"/>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row>
    <row r="174">
      <c r="A174" s="3"/>
      <c r="B174" s="42"/>
      <c r="C174" s="42"/>
      <c r="D174" s="182"/>
      <c r="E174" s="43"/>
      <c r="F174" s="43"/>
      <c r="G174" s="108"/>
      <c r="H174" s="163"/>
      <c r="I174" s="48"/>
      <c r="J174" s="43"/>
      <c r="K174" s="44"/>
      <c r="L174" s="43"/>
      <c r="M174" s="48"/>
      <c r="N174" s="43"/>
      <c r="O174" s="43"/>
      <c r="P174" s="43"/>
      <c r="Q174" s="48"/>
      <c r="R174" s="43"/>
      <c r="S174" s="43"/>
      <c r="T174" s="45"/>
      <c r="U174" s="48"/>
      <c r="V174" s="43"/>
      <c r="W174" s="43"/>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row>
    <row r="175">
      <c r="A175" s="3"/>
      <c r="B175" s="42"/>
      <c r="C175" s="42"/>
      <c r="D175" s="183"/>
      <c r="E175" s="43"/>
      <c r="F175" s="43"/>
      <c r="G175" s="108"/>
      <c r="H175" s="163"/>
      <c r="I175" s="48"/>
      <c r="J175" s="43"/>
      <c r="K175" s="44"/>
      <c r="L175" s="43"/>
      <c r="M175" s="48"/>
      <c r="N175" s="43"/>
      <c r="O175" s="43"/>
      <c r="P175" s="43"/>
      <c r="Q175" s="48"/>
      <c r="R175" s="43"/>
      <c r="S175" s="43"/>
      <c r="T175" s="45"/>
      <c r="U175" s="48"/>
      <c r="V175" s="43"/>
      <c r="W175" s="43"/>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row>
    <row r="176">
      <c r="A176" s="3"/>
      <c r="B176" s="42"/>
      <c r="C176" s="42"/>
      <c r="D176" s="183"/>
      <c r="E176" s="43"/>
      <c r="F176" s="45"/>
      <c r="G176" s="45"/>
      <c r="H176" s="163"/>
      <c r="I176" s="48"/>
      <c r="J176" s="43"/>
      <c r="K176" s="44"/>
      <c r="L176" s="43"/>
      <c r="M176" s="48"/>
      <c r="N176" s="43"/>
      <c r="O176" s="43"/>
      <c r="P176" s="43"/>
      <c r="Q176" s="48"/>
      <c r="R176" s="43"/>
      <c r="S176" s="43"/>
      <c r="T176" s="45"/>
      <c r="U176" s="48"/>
      <c r="V176" s="43"/>
      <c r="W176" s="43"/>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row>
    <row r="177">
      <c r="A177" s="3"/>
      <c r="B177" s="42"/>
      <c r="C177" s="42"/>
      <c r="D177" s="183"/>
      <c r="E177" s="43"/>
      <c r="F177" s="45"/>
      <c r="G177" s="45"/>
      <c r="H177" s="184"/>
      <c r="I177" s="185"/>
      <c r="J177" s="186"/>
      <c r="K177" s="44"/>
      <c r="L177" s="187"/>
      <c r="M177" s="42"/>
      <c r="N177" s="43"/>
      <c r="O177" s="43"/>
      <c r="P177" s="187"/>
      <c r="Q177" s="42"/>
      <c r="R177" s="43"/>
      <c r="S177" s="43"/>
      <c r="T177" s="187"/>
      <c r="U177" s="42"/>
      <c r="V177" s="43"/>
      <c r="W177" s="43"/>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row>
    <row r="178">
      <c r="A178" s="3"/>
      <c r="B178" s="42"/>
      <c r="C178" s="42"/>
      <c r="D178" s="181"/>
      <c r="E178" s="43"/>
      <c r="F178" s="43"/>
      <c r="G178" s="43"/>
      <c r="H178" s="184"/>
      <c r="I178" s="185"/>
      <c r="J178" s="43"/>
      <c r="K178" s="44"/>
      <c r="L178" s="187"/>
      <c r="M178" s="42"/>
      <c r="N178" s="43"/>
      <c r="O178" s="43"/>
      <c r="P178" s="187"/>
      <c r="Q178" s="42"/>
      <c r="R178" s="43"/>
      <c r="S178" s="43"/>
      <c r="T178" s="187"/>
      <c r="U178" s="42"/>
      <c r="V178" s="43"/>
      <c r="W178" s="43"/>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row>
    <row r="179">
      <c r="A179" s="3"/>
      <c r="B179" s="42"/>
      <c r="C179" s="42"/>
      <c r="D179" s="181"/>
      <c r="E179" s="43"/>
      <c r="F179" s="43"/>
      <c r="G179" s="45"/>
      <c r="H179" s="184"/>
      <c r="I179" s="185"/>
      <c r="J179" s="43"/>
      <c r="K179" s="44"/>
      <c r="L179" s="187"/>
      <c r="M179" s="42"/>
      <c r="N179" s="43"/>
      <c r="O179" s="43"/>
      <c r="P179" s="187"/>
      <c r="Q179" s="42"/>
      <c r="R179" s="43"/>
      <c r="S179" s="43"/>
      <c r="T179" s="187"/>
      <c r="U179" s="42"/>
      <c r="V179" s="43"/>
      <c r="W179" s="43"/>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row>
    <row r="180">
      <c r="A180" s="3"/>
      <c r="B180" s="42"/>
      <c r="C180" s="42"/>
      <c r="D180" s="181"/>
      <c r="E180" s="43"/>
      <c r="F180" s="43"/>
      <c r="G180" s="43"/>
      <c r="H180" s="184"/>
      <c r="I180" s="185"/>
      <c r="J180" s="43"/>
      <c r="K180" s="44"/>
      <c r="L180" s="187"/>
      <c r="M180" s="42"/>
      <c r="N180" s="43"/>
      <c r="O180" s="43"/>
      <c r="P180" s="187"/>
      <c r="Q180" s="42"/>
      <c r="R180" s="43"/>
      <c r="S180" s="43"/>
      <c r="T180" s="187"/>
      <c r="U180" s="42"/>
      <c r="V180" s="43"/>
      <c r="W180" s="43"/>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row>
    <row r="181">
      <c r="A181" s="3"/>
      <c r="B181" s="42"/>
      <c r="C181" s="42"/>
      <c r="D181" s="181"/>
      <c r="E181" s="43"/>
      <c r="F181" s="43"/>
      <c r="G181" s="43"/>
      <c r="H181" s="188"/>
      <c r="I181" s="186"/>
      <c r="J181" s="186"/>
      <c r="K181" s="189"/>
      <c r="L181" s="188"/>
      <c r="M181" s="186"/>
      <c r="N181" s="186"/>
      <c r="O181" s="190"/>
      <c r="P181" s="188"/>
      <c r="Q181" s="186"/>
      <c r="R181" s="186"/>
      <c r="S181" s="190"/>
      <c r="T181" s="188"/>
      <c r="U181" s="186"/>
      <c r="V181" s="186"/>
      <c r="W181" s="190"/>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row>
  </sheetData>
  <autoFilter ref="$H$1:$K$181"/>
  <mergeCells count="41">
    <mergeCell ref="C7:C8"/>
    <mergeCell ref="D7:D8"/>
    <mergeCell ref="E7:E8"/>
    <mergeCell ref="F7:F8"/>
    <mergeCell ref="G7:G8"/>
    <mergeCell ref="L7:O7"/>
    <mergeCell ref="P7:S7"/>
    <mergeCell ref="T7:W7"/>
    <mergeCell ref="H7:K7"/>
    <mergeCell ref="C2:F2"/>
    <mergeCell ref="B3:C3"/>
    <mergeCell ref="D3:E3"/>
    <mergeCell ref="B4:C4"/>
    <mergeCell ref="D4:E4"/>
    <mergeCell ref="A7:A8"/>
    <mergeCell ref="B7:B8"/>
    <mergeCell ref="B9:G9"/>
    <mergeCell ref="B10:G10"/>
    <mergeCell ref="B11:G11"/>
    <mergeCell ref="B15:G15"/>
    <mergeCell ref="B19:G19"/>
    <mergeCell ref="B25:G25"/>
    <mergeCell ref="C26:G26"/>
    <mergeCell ref="C35:G35"/>
    <mergeCell ref="C42:G42"/>
    <mergeCell ref="B50:G50"/>
    <mergeCell ref="C51:G51"/>
    <mergeCell ref="C60:G60"/>
    <mergeCell ref="C66:G66"/>
    <mergeCell ref="C71:G71"/>
    <mergeCell ref="B157:G157"/>
    <mergeCell ref="C158:G158"/>
    <mergeCell ref="C161:G161"/>
    <mergeCell ref="C165:G165"/>
    <mergeCell ref="C76:G76"/>
    <mergeCell ref="C89:G89"/>
    <mergeCell ref="C96:G96"/>
    <mergeCell ref="B119:G119"/>
    <mergeCell ref="B125:G125"/>
    <mergeCell ref="B136:G136"/>
    <mergeCell ref="B148:G148"/>
  </mergeCells>
  <conditionalFormatting sqref="L9:L181 P9:P181 T9:T181 H11:H24 H35:H42 H50:H68 H96:H181 N120:N124 R120:R124 N137:N156 R137:R156">
    <cfRule type="cellIs" dxfId="0" priority="1" operator="equal">
      <formula>"Block"</formula>
    </cfRule>
  </conditionalFormatting>
  <conditionalFormatting sqref="L9:L181 P9:P181 T9:T181 H11:H24 H35:H42 H50:H68 H96:H181 N120:N124 R120:R124 N137:N156 R137:R156">
    <cfRule type="cellIs" dxfId="1" priority="2" operator="equal">
      <formula>"Fail"</formula>
    </cfRule>
  </conditionalFormatting>
  <conditionalFormatting sqref="L9:L181 P9:P181 T9:T181 H11:H24 H35:H42 H50:H68 H96:H181 N120:N124 R120:R124 N137:N156 R137:R156">
    <cfRule type="cellIs" dxfId="2" priority="3" operator="equal">
      <formula>"Pass"</formula>
    </cfRule>
  </conditionalFormatting>
  <conditionalFormatting sqref="L9:L181 P9:P181 T9:T181 H11:H24 H35:H42 H50:H68 H96:H181 N120:N124 R120:R124 N137:N156 R137:R156">
    <cfRule type="cellIs" dxfId="3" priority="4" operator="equal">
      <formula>"N/A"</formula>
    </cfRule>
  </conditionalFormatting>
  <conditionalFormatting sqref="L9:L176 P9:P176 T9:T181 H11:H25 H35:H42 H50:H71 H73:H76 H89:H181 N120:N124 R120:R124">
    <cfRule type="cellIs" dxfId="4" priority="5" operator="equal">
      <formula>"Block"</formula>
    </cfRule>
  </conditionalFormatting>
  <conditionalFormatting sqref="L9:L176 P9:P176 T9:T181 H11:H25 H35:H42 H50:H71 H73:H76 H89:H181 N120:N124 R120:R124">
    <cfRule type="cellIs" dxfId="5" priority="6" operator="equal">
      <formula>"Fail"</formula>
    </cfRule>
  </conditionalFormatting>
  <conditionalFormatting sqref="L9:L176 P9:P176 T9:T181 H11:H25 H35:H42 H50:H71 H73:H76 H89:H181 N120:N124 R120:R124">
    <cfRule type="cellIs" dxfId="6" priority="7" operator="equal">
      <formula>"Pass"</formula>
    </cfRule>
  </conditionalFormatting>
  <conditionalFormatting sqref="L9:L176 P9:P176 T9:T181 H11:H25 H35:H42 H50:H71 H73:H76 H89:H181 N120:N124 R120:R124">
    <cfRule type="cellIs" dxfId="7" priority="8" operator="equal">
      <formula>"N/A"</formula>
    </cfRule>
  </conditionalFormatting>
  <conditionalFormatting sqref="H57:H68 H96:H176">
    <cfRule type="cellIs" dxfId="4" priority="9" operator="equal">
      <formula>"Block"</formula>
    </cfRule>
  </conditionalFormatting>
  <conditionalFormatting sqref="H57:H68 H96:H176">
    <cfRule type="cellIs" dxfId="5" priority="10" operator="equal">
      <formula>"Fail"</formula>
    </cfRule>
  </conditionalFormatting>
  <conditionalFormatting sqref="H57:H68 H96:H176">
    <cfRule type="cellIs" dxfId="6" priority="11" operator="equal">
      <formula>"Pass"</formula>
    </cfRule>
  </conditionalFormatting>
  <conditionalFormatting sqref="H57:H68 H96:H176">
    <cfRule type="cellIs" dxfId="7" priority="12" operator="equal">
      <formula>"N/A"</formula>
    </cfRule>
  </conditionalFormatting>
  <conditionalFormatting sqref="L9:L176 P9:P176 T9:T181 H11:H25 H35:H42 H50:H71 H73:H76 H89:H181">
    <cfRule type="cellIs" dxfId="0" priority="13" operator="equal">
      <formula>"Block"</formula>
    </cfRule>
  </conditionalFormatting>
  <conditionalFormatting sqref="L9:L176 P9:P176 T9:T181 H11:H25 H35:H42 H50:H71 H73:H76 H89:H181">
    <cfRule type="cellIs" dxfId="1" priority="14" operator="equal">
      <formula>"Fail"</formula>
    </cfRule>
  </conditionalFormatting>
  <conditionalFormatting sqref="L9:L176 P9:P176 T9:T181 H11:H25 H35:H42 H50:H71 H73:H76 H89:H181">
    <cfRule type="cellIs" dxfId="2" priority="15" operator="equal">
      <formula>"Pass"</formula>
    </cfRule>
  </conditionalFormatting>
  <conditionalFormatting sqref="L9:L176 P9:P176 T9:T181 H11:H25 H35:H42 H50:H71 H73:H76 H89:H181">
    <cfRule type="cellIs" dxfId="3" priority="16" operator="equal">
      <formula>"N/A"</formula>
    </cfRule>
  </conditionalFormatting>
  <dataValidations>
    <dataValidation type="list" allowBlank="1" showErrorMessage="1" sqref="H12:H25 H35:H42 H50:H71 H73:H76 L9:L119 P9:P119 T9:T119 H89:H124 N120:N124 R120:R124 H125:I125 L125:M125 P125:Q125 T125:U125 H126:H135 L126:L135 P126:P135 T126:T135 H136:I136 L136:M136 P136:Q136 T136:U136 L137:L147 N137:N156 R137:R156 H137:H181 L149:L181 P157:P181 T157:T181">
      <formula1>"Pass,Fail,Block,N/A"</formula1>
    </dataValidation>
    <dataValidation type="list" allowBlank="1" showErrorMessage="1" sqref="A10:A30 A32:A132 A134:A173">
      <formula1>"QC,AI"</formula1>
    </dataValidation>
    <dataValidation type="list" allowBlank="1" showErrorMessage="1" sqref="C12:C14 C16:C18 C20:C24 C27:C34 C36:C41 C43:C49 C52:C59 C61:C65 C67:C70 C72:C75 C77:C88 C90:C95 C97:C118 C120:C124 C126:C135 C137:C147 C149:C156 C159:C160 C162:C164 C166:C181">
      <formula1>"High,Medium,Low"</formula1>
    </dataValidation>
  </dataValidations>
  <hyperlinks>
    <hyperlink r:id="rId1" ref="G12"/>
    <hyperlink r:id="rId2" ref="G13"/>
    <hyperlink r:id="rId3" ref="D14"/>
    <hyperlink r:id="rId4" ref="G14"/>
  </hyperlinks>
  <printOptions/>
  <pageMargins bottom="0.75" footer="0.0" header="0.0" left="0.7" right="0.7" top="0.75"/>
  <pageSetup orientation="landscape"/>
  <drawing r:id="rId5"/>
</worksheet>
</file>